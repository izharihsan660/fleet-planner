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_ItemList" sheetId="2" state="hidden" r:id="rId4"/>
    <sheet name="DATA UNIT" sheetId="3" state="visible" r:id="rId5"/>
    <sheet name="SETUP AWAL ITEM" sheetId="4" state="visible" r:id="rId6"/>
  </sheets>
  <definedNames>
    <definedName function="false" hidden="false" name="PlanningItemsList" vbProcedure="false">_ItemList!$A$1:$A$20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<sst xmlns="http://schemas.openxmlformats.org/spreadsheetml/2006/main" count="262" uniqueCount="132">
  <si>
    <t xml:space="preserve">PANDUAN PENGISIAN DATA — FLEET MAINTENANCE PLANNER (REGION SULAWESI)</t>
  </si>
  <si>
    <t xml:space="preserve">Template ini KHUSUS untuk REGION SULAWESI.</t>
  </si>
  <si>
    <t xml:space="preserve">Sheet 'DATA UNIT' SUDAH TERISI OTOMATIS dari data Register Kendaraan resmi PT NAJ (40 unit).</t>
  </si>
  <si>
    <t xml:space="preserve">TIDAK PERLU mengetik ulang data unit — kolom hijau adalah data yang sudah benar dari sumber resmi.</t>
  </si>
  <si>
    <t xml:space="preserve">TUGAS ADMIN SEKARANG:</t>
  </si>
  <si>
    <t xml:space="preserve">1. Cek sheet 'DATA UNIT' — kalau ada unit di region ini yang TERLEWAT (belum ada di daftar),</t>
  </si>
  <si>
    <t xml:space="preserve">   boleh ditambahkan manual di baris kosong paling bawah, isi Site/Plat/Tipe/Kategori/Customer.</t>
  </si>
  <si>
    <t xml:space="preserve">2. Buka sheet 'SETUP AWAL ITEM' — kolom 'Plat Nomor' dan 'Nama Item' SUDAH OTOMATIS TERISI</t>
  </si>
  <si>
    <t xml:space="preserve">   (jangan diketik manual, jangan diubah).</t>
  </si>
  <si>
    <t xml:space="preserve">   Isi kolom kuning 'Kapan Terakhir Diganti' (tanggal) untuk tiap item, per unit.</t>
  </si>
  <si>
    <t xml:space="preserve">   Kolom 'KM Saat Diganti' BOLEH DIKOSONGKAN kalau tidak ada catatan pastinya.</t>
  </si>
  <si>
    <t xml:space="preserve">   Kalau item BELUM PERNAH diganti sejak unit ini dipakai, KOSONGKAN kedua kolom kuning itu.</t>
  </si>
  <si>
    <t xml:space="preserve">3. TIDAK PERLU isi odometer/KM unit saat ini — itu akan diisi Mekanik lewat aplikasi nanti.</t>
  </si>
  <si>
    <t xml:space="preserve">20 ITEM YANG OTOMATIS MUNCUL UNTUK SETIAP UNIT:</t>
  </si>
  <si>
    <t xml:space="preserve">   PM Check / Reguler Services, Service A, Service B, Brake Pad, Brake Shoe, Accu, Kampas Kopling Set, Wiper Blade, Ban Depan, Ban Belakang, Ban Serep, Greasing, V-Belt, Sarung Jok, Karpet Karet, Karpet Dasar, Flushing Radiator, Flushing Steering, Flushing Injector, Flushing Rem</t>
  </si>
  <si>
    <t xml:space="preserve">PENTING:</t>
  </si>
  <si>
    <t xml:space="preserve">   - Data unit (hijau) adalah data RESMI, jangan diubah kecuali benar-benar salah/perlu koreksi.</t>
  </si>
  <si>
    <t xml:space="preserve">   - Format tanggal: YYYY-MM-DD (contoh: 2026-07-08)</t>
  </si>
  <si>
    <t xml:space="preserve">   - JANGAN mengubah urutan baris di sheet 'SETUP AWAL ITEM'.</t>
  </si>
  <si>
    <t xml:space="preserve">PM Check / Reguler Services</t>
  </si>
  <si>
    <t xml:space="preserve">Service A</t>
  </si>
  <si>
    <t xml:space="preserve">Service B</t>
  </si>
  <si>
    <t xml:space="preserve">Brake Pad</t>
  </si>
  <si>
    <t xml:space="preserve">Brake Shoe</t>
  </si>
  <si>
    <t xml:space="preserve">Accu</t>
  </si>
  <si>
    <t xml:space="preserve">Kampas Kopling Set</t>
  </si>
  <si>
    <t xml:space="preserve">Wiper Blade</t>
  </si>
  <si>
    <t xml:space="preserve">Ban Depan</t>
  </si>
  <si>
    <t xml:space="preserve">Ban Belakang</t>
  </si>
  <si>
    <t xml:space="preserve">Ban Serep</t>
  </si>
  <si>
    <t xml:space="preserve">Greasing</t>
  </si>
  <si>
    <t xml:space="preserve">V-Belt</t>
  </si>
  <si>
    <t xml:space="preserve">Sarung Jok</t>
  </si>
  <si>
    <t xml:space="preserve">Karpet Karet</t>
  </si>
  <si>
    <t xml:space="preserve">Karpet Dasar</t>
  </si>
  <si>
    <t xml:space="preserve">Flushing Radiator</t>
  </si>
  <si>
    <t xml:space="preserve">Flushing Steering</t>
  </si>
  <si>
    <t xml:space="preserve">Flushing Injector</t>
  </si>
  <si>
    <t xml:space="preserve">Flushing Rem</t>
  </si>
  <si>
    <t xml:space="preserve">Site</t>
  </si>
  <si>
    <t xml:space="preserve">Plat Nomor</t>
  </si>
  <si>
    <t xml:space="preserve">Tipe/Merk Unit</t>
  </si>
  <si>
    <t xml:space="preserve">Kategori Kendaraan</t>
  </si>
  <si>
    <t xml:space="preserve">Customer</t>
  </si>
  <si>
    <t xml:space="preserve">Plat Lama (jika ada)</t>
  </si>
  <si>
    <t xml:space="preserve">MANADO</t>
  </si>
  <si>
    <t xml:space="preserve">KT 8037 YV</t>
  </si>
  <si>
    <t xml:space="preserve">Toyota All New Hilux 2,4 G DC 4X4 M</t>
  </si>
  <si>
    <t xml:space="preserve">pickup_suv</t>
  </si>
  <si>
    <t xml:space="preserve">PT. UT</t>
  </si>
  <si>
    <t xml:space="preserve">DB 8214 LO</t>
  </si>
  <si>
    <t xml:space="preserve">DB 8631 LO</t>
  </si>
  <si>
    <t xml:space="preserve">Toyota All New Hilux 2,4G DC 4X4 M</t>
  </si>
  <si>
    <t xml:space="preserve">DB 8531 LO</t>
  </si>
  <si>
    <t xml:space="preserve">DD 8185 SQ</t>
  </si>
  <si>
    <t xml:space="preserve">KT 8755 ZE</t>
  </si>
  <si>
    <t xml:space="preserve">DD 8518 UE</t>
  </si>
  <si>
    <t xml:space="preserve">DD 8573 UE</t>
  </si>
  <si>
    <t xml:space="preserve">DD 8016 UF</t>
  </si>
  <si>
    <t xml:space="preserve">DD 8017 UF</t>
  </si>
  <si>
    <t xml:space="preserve">DD 8592 VG</t>
  </si>
  <si>
    <t xml:space="preserve">GORONTALO</t>
  </si>
  <si>
    <t xml:space="preserve">KT 8341 ZO</t>
  </si>
  <si>
    <t xml:space="preserve">KT 8342 ZO</t>
  </si>
  <si>
    <t xml:space="preserve">KT 8452 ZO</t>
  </si>
  <si>
    <t xml:space="preserve">KT 8453 ZO</t>
  </si>
  <si>
    <t xml:space="preserve">KT 8987 YS</t>
  </si>
  <si>
    <t xml:space="preserve">Toyota All New Hilux 2,393 CC E DC 4X4 M</t>
  </si>
  <si>
    <t xml:space="preserve">PT. NAJR</t>
  </si>
  <si>
    <t xml:space="preserve">SOROAKO</t>
  </si>
  <si>
    <t xml:space="preserve">DP 8157 GZ</t>
  </si>
  <si>
    <t xml:space="preserve">PT. UT - MKS</t>
  </si>
  <si>
    <t xml:space="preserve">DD 8546 UB</t>
  </si>
  <si>
    <t xml:space="preserve">DP 8158 GZ</t>
  </si>
  <si>
    <t xml:space="preserve">DD 8548 UB</t>
  </si>
  <si>
    <t xml:space="preserve">DP 8183 GZ</t>
  </si>
  <si>
    <t xml:space="preserve">DD 8549 UB</t>
  </si>
  <si>
    <t xml:space="preserve">DP 8180 GZ</t>
  </si>
  <si>
    <t xml:space="preserve">DD 8539 UB</t>
  </si>
  <si>
    <t xml:space="preserve">DP 8207 GZ</t>
  </si>
  <si>
    <t xml:space="preserve">DD 8186 SQ</t>
  </si>
  <si>
    <t xml:space="preserve">DP 8209 GZ</t>
  </si>
  <si>
    <t xml:space="preserve">DD 8640 UB</t>
  </si>
  <si>
    <t xml:space="preserve">DP 8208 GZ</t>
  </si>
  <si>
    <t xml:space="preserve">DD 8641 UB</t>
  </si>
  <si>
    <t xml:space="preserve">DP 8156 GZ</t>
  </si>
  <si>
    <t xml:space="preserve">PT. NAJR - MKS</t>
  </si>
  <si>
    <t xml:space="preserve">DD 8253 XCU</t>
  </si>
  <si>
    <t xml:space="preserve">MKS</t>
  </si>
  <si>
    <t xml:space="preserve">B 1899 EKR</t>
  </si>
  <si>
    <t xml:space="preserve">Toyota New Avanza Minibus 1,3 G M</t>
  </si>
  <si>
    <t xml:space="preserve">bus</t>
  </si>
  <si>
    <t xml:space="preserve">B 1324 EOH</t>
  </si>
  <si>
    <t xml:space="preserve">T. New Avanza 1.3 G M</t>
  </si>
  <si>
    <t xml:space="preserve">DA 1206 TBI</t>
  </si>
  <si>
    <t xml:space="preserve">Toyota All New Innova 2.0 G A</t>
  </si>
  <si>
    <t xml:space="preserve">PT. Raja Reman Solusi</t>
  </si>
  <si>
    <t xml:space="preserve">KT 1256 ZP</t>
  </si>
  <si>
    <t xml:space="preserve">DA 8141 BR</t>
  </si>
  <si>
    <t xml:space="preserve">Isuzu D-Max Rodeo DC VGS 4X4 M</t>
  </si>
  <si>
    <t xml:space="preserve">KT 8706 YI</t>
  </si>
  <si>
    <t xml:space="preserve">KENDARI</t>
  </si>
  <si>
    <t xml:space="preserve">KT 8420 YS</t>
  </si>
  <si>
    <t xml:space="preserve">Mitsubishi All New Triton 2,442 GLS DC 4X4 M</t>
  </si>
  <si>
    <t xml:space="preserve">PT. UT - MKS (Sulawesi Tenggara</t>
  </si>
  <si>
    <t xml:space="preserve">KT 8418 YS</t>
  </si>
  <si>
    <t xml:space="preserve">DD 8547 UB</t>
  </si>
  <si>
    <t xml:space="preserve">PT. UT - MKS /</t>
  </si>
  <si>
    <t xml:space="preserve">DD 8550 UB</t>
  </si>
  <si>
    <t xml:space="preserve">KT 8720 YS</t>
  </si>
  <si>
    <t xml:space="preserve">KT 8697 YS</t>
  </si>
  <si>
    <t xml:space="preserve">PT. UT - MKS/</t>
  </si>
  <si>
    <t xml:space="preserve">DA 1365 O</t>
  </si>
  <si>
    <t xml:space="preserve">Toyota All New Fortuner 2,4 VRZ 4X4 A</t>
  </si>
  <si>
    <t xml:space="preserve">DA 1689 BL</t>
  </si>
  <si>
    <t xml:space="preserve">B 1395 ERA</t>
  </si>
  <si>
    <t xml:space="preserve">Toyota Avanza Grand New 1,3 G M</t>
  </si>
  <si>
    <t xml:space="preserve">B 2665 UKQ</t>
  </si>
  <si>
    <t xml:space="preserve">Toyota All New Agya 1,2 G AT</t>
  </si>
  <si>
    <t xml:space="preserve">PT. NAJ</t>
  </si>
  <si>
    <t xml:space="preserve">B 126 NAJ</t>
  </si>
  <si>
    <t xml:space="preserve">Merc Benz C200 CGI AT</t>
  </si>
  <si>
    <t xml:space="preserve">DT 8594 GE</t>
  </si>
  <si>
    <t xml:space="preserve">Mahindra Scorpio Pikup 2,179 DC 4X4 M</t>
  </si>
  <si>
    <t xml:space="preserve">DT 9171 XX</t>
  </si>
  <si>
    <t xml:space="preserve">DT 8863 GE</t>
  </si>
  <si>
    <t xml:space="preserve">B 2547 UOU</t>
  </si>
  <si>
    <t xml:space="preserve">Toyota All New Innova Facelift 2,4 G M</t>
  </si>
  <si>
    <t xml:space="preserve">Plat Nomor (otomatis)</t>
  </si>
  <si>
    <t xml:space="preserve">Nama Item (otomatis)</t>
  </si>
  <si>
    <t xml:space="preserve">Kapan Terakhir Diganti (Tanggal)</t>
  </si>
  <si>
    <t xml:space="preserve">KM Saat Diganti (opsional)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</si>
</sst>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F4E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AF3EC"/>
        <bgColor rgb="FFFFF9E6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AF3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13</v>
      </c>
    </row>
    <row r="21" customFormat="false" ht="15" hidden="false" customHeight="false" outlineLevel="0" collapsed="false">
      <c r="A21" s="2" t="s">
        <v>14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15</v>
      </c>
    </row>
    <row r="24" customFormat="false" ht="15" hidden="false" customHeight="false" outlineLevel="0" collapsed="false">
      <c r="A24" s="2" t="s">
        <v>16</v>
      </c>
    </row>
    <row r="25" customFormat="false" ht="15" hidden="false" customHeight="false" outlineLevel="0" collapsed="false">
      <c r="A25" s="2" t="s">
        <v>17</v>
      </c>
    </row>
    <row r="26" customFormat="false" ht="15" hidden="false" customHeight="false" outlineLevel="0" collapsed="false">
      <c r="A26" s="2" t="s">
        <v>18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</v>
      </c>
    </row>
    <row r="2" customFormat="false" ht="15" hidden="false" customHeight="false" outlineLevel="0" collapsed="false">
      <c r="A2" s="0" t="s">
        <v>20</v>
      </c>
    </row>
    <row r="3" customFormat="false" ht="15" hidden="false" customHeight="false" outlineLevel="0" collapsed="false">
      <c r="A3" s="0" t="s">
        <v>21</v>
      </c>
    </row>
    <row r="4" customFormat="false" ht="15" hidden="false" customHeight="false" outlineLevel="0" collapsed="false">
      <c r="A4" s="0" t="s">
        <v>22</v>
      </c>
    </row>
    <row r="5" customFormat="false" ht="15" hidden="false" customHeight="false" outlineLevel="0" collapsed="false">
      <c r="A5" s="0" t="s">
        <v>23</v>
      </c>
    </row>
    <row r="6" customFormat="false" ht="15" hidden="false" customHeight="false" outlineLevel="0" collapsed="false">
      <c r="A6" s="0" t="s">
        <v>24</v>
      </c>
    </row>
    <row r="7" customFormat="false" ht="15" hidden="false" customHeight="false" outlineLevel="0" collapsed="false">
      <c r="A7" s="0" t="s">
        <v>25</v>
      </c>
    </row>
    <row r="8" customFormat="false" ht="15" hidden="false" customHeight="false" outlineLevel="0" collapsed="false">
      <c r="A8" s="0" t="s">
        <v>26</v>
      </c>
    </row>
    <row r="9" customFormat="false" ht="15" hidden="false" customHeight="false" outlineLevel="0" collapsed="false">
      <c r="A9" s="0" t="s">
        <v>27</v>
      </c>
    </row>
    <row r="10" customFormat="false" ht="15" hidden="false" customHeight="false" outlineLevel="0" collapsed="false">
      <c r="A10" s="0" t="s">
        <v>28</v>
      </c>
    </row>
    <row r="11" customFormat="false" ht="15" hidden="false" customHeight="false" outlineLevel="0" collapsed="false">
      <c r="A11" s="0" t="s">
        <v>29</v>
      </c>
    </row>
    <row r="12" customFormat="false" ht="15" hidden="false" customHeight="false" outlineLevel="0" collapsed="false">
      <c r="A12" s="0" t="s">
        <v>30</v>
      </c>
    </row>
    <row r="13" customFormat="false" ht="15" hidden="false" customHeight="false" outlineLevel="0" collapsed="false">
      <c r="A13" s="0" t="s">
        <v>31</v>
      </c>
    </row>
    <row r="14" customFormat="false" ht="15" hidden="false" customHeight="false" outlineLevel="0" collapsed="false">
      <c r="A14" s="0" t="s">
        <v>32</v>
      </c>
    </row>
    <row r="15" customFormat="false" ht="15" hidden="false" customHeight="false" outlineLevel="0" collapsed="false">
      <c r="A15" s="0" t="s">
        <v>33</v>
      </c>
    </row>
    <row r="16" customFormat="false" ht="15" hidden="false" customHeight="false" outlineLevel="0" collapsed="false">
      <c r="A16" s="0" t="s">
        <v>34</v>
      </c>
    </row>
    <row r="17" customFormat="false" ht="15" hidden="false" customHeight="false" outlineLevel="0" collapsed="false">
      <c r="A17" s="0" t="s">
        <v>35</v>
      </c>
    </row>
    <row r="18" customFormat="false" ht="15" hidden="false" customHeight="false" outlineLevel="0" collapsed="false">
      <c r="A18" s="0" t="s">
        <v>36</v>
      </c>
    </row>
    <row r="19" customFormat="false" ht="15" hidden="false" customHeight="false" outlineLevel="0" collapsed="false">
      <c r="A19" s="0" t="s">
        <v>37</v>
      </c>
    </row>
    <row r="20" customFormat="false" ht="15" hidden="false" customHeight="false" outlineLevel="0" collapsed="false">
      <c r="A20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</row>
    <row r="2" customFormat="false" ht="15" hidden="false" customHeight="false" outlineLevel="0" collapsed="false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/>
    </row>
    <row r="3" customFormat="false" ht="15" hidden="false" customHeight="false" outlineLevel="0" collapsed="false">
      <c r="A3" s="5" t="s">
        <v>45</v>
      </c>
      <c r="B3" s="5" t="s">
        <v>50</v>
      </c>
      <c r="C3" s="5" t="s">
        <v>47</v>
      </c>
      <c r="D3" s="5" t="s">
        <v>48</v>
      </c>
      <c r="E3" s="5" t="s">
        <v>49</v>
      </c>
      <c r="F3" s="5"/>
    </row>
    <row r="4" customFormat="false" ht="15" hidden="false" customHeight="false" outlineLevel="0" collapsed="false">
      <c r="A4" s="5" t="s">
        <v>45</v>
      </c>
      <c r="B4" s="5" t="s">
        <v>51</v>
      </c>
      <c r="C4" s="5" t="s">
        <v>52</v>
      </c>
      <c r="D4" s="5" t="s">
        <v>48</v>
      </c>
      <c r="E4" s="5" t="s">
        <v>49</v>
      </c>
      <c r="F4" s="5" t="s">
        <v>53</v>
      </c>
    </row>
    <row r="5" customFormat="false" ht="15" hidden="false" customHeight="false" outlineLevel="0" collapsed="false">
      <c r="A5" s="5" t="s">
        <v>45</v>
      </c>
      <c r="B5" s="5" t="s">
        <v>54</v>
      </c>
      <c r="C5" s="5" t="s">
        <v>52</v>
      </c>
      <c r="D5" s="5" t="s">
        <v>48</v>
      </c>
      <c r="E5" s="5" t="s">
        <v>49</v>
      </c>
      <c r="F5" s="5"/>
    </row>
    <row r="6" customFormat="false" ht="15" hidden="false" customHeight="false" outlineLevel="0" collapsed="false">
      <c r="A6" s="5" t="s">
        <v>45</v>
      </c>
      <c r="B6" s="5" t="s">
        <v>55</v>
      </c>
      <c r="C6" s="5" t="s">
        <v>52</v>
      </c>
      <c r="D6" s="5" t="s">
        <v>48</v>
      </c>
      <c r="E6" s="5" t="s">
        <v>49</v>
      </c>
      <c r="F6" s="5"/>
    </row>
    <row r="7" customFormat="false" ht="15" hidden="false" customHeight="false" outlineLevel="0" collapsed="false">
      <c r="A7" s="5" t="s">
        <v>45</v>
      </c>
      <c r="B7" s="5" t="s">
        <v>56</v>
      </c>
      <c r="C7" s="5" t="s">
        <v>52</v>
      </c>
      <c r="D7" s="5" t="s">
        <v>48</v>
      </c>
      <c r="E7" s="5" t="s">
        <v>49</v>
      </c>
      <c r="F7" s="5"/>
    </row>
    <row r="8" customFormat="false" ht="15" hidden="false" customHeight="false" outlineLevel="0" collapsed="false">
      <c r="A8" s="5" t="s">
        <v>45</v>
      </c>
      <c r="B8" s="5" t="s">
        <v>57</v>
      </c>
      <c r="C8" s="5" t="s">
        <v>52</v>
      </c>
      <c r="D8" s="5" t="s">
        <v>48</v>
      </c>
      <c r="E8" s="5" t="s">
        <v>49</v>
      </c>
      <c r="F8" s="5"/>
    </row>
    <row r="9" customFormat="false" ht="15" hidden="false" customHeight="false" outlineLevel="0" collapsed="false">
      <c r="A9" s="5" t="s">
        <v>45</v>
      </c>
      <c r="B9" s="5" t="s">
        <v>58</v>
      </c>
      <c r="C9" s="5" t="s">
        <v>52</v>
      </c>
      <c r="D9" s="5" t="s">
        <v>48</v>
      </c>
      <c r="E9" s="5" t="s">
        <v>49</v>
      </c>
      <c r="F9" s="5"/>
    </row>
    <row r="10" customFormat="false" ht="15" hidden="false" customHeight="false" outlineLevel="0" collapsed="false">
      <c r="A10" s="5" t="s">
        <v>45</v>
      </c>
      <c r="B10" s="5" t="s">
        <v>59</v>
      </c>
      <c r="C10" s="5" t="s">
        <v>52</v>
      </c>
      <c r="D10" s="5" t="s">
        <v>48</v>
      </c>
      <c r="E10" s="5" t="s">
        <v>49</v>
      </c>
      <c r="F10" s="5"/>
    </row>
    <row r="11" customFormat="false" ht="15" hidden="false" customHeight="false" outlineLevel="0" collapsed="false">
      <c r="A11" s="5" t="s">
        <v>45</v>
      </c>
      <c r="B11" s="5" t="s">
        <v>60</v>
      </c>
      <c r="C11" s="5" t="s">
        <v>52</v>
      </c>
      <c r="D11" s="5" t="s">
        <v>48</v>
      </c>
      <c r="E11" s="5" t="s">
        <v>49</v>
      </c>
      <c r="F11" s="5"/>
    </row>
    <row r="12" customFormat="false" ht="15" hidden="false" customHeight="false" outlineLevel="0" collapsed="false">
      <c r="A12" s="5" t="s">
        <v>61</v>
      </c>
      <c r="B12" s="5" t="s">
        <v>62</v>
      </c>
      <c r="C12" s="5" t="s">
        <v>52</v>
      </c>
      <c r="D12" s="5" t="s">
        <v>48</v>
      </c>
      <c r="E12" s="5" t="s">
        <v>49</v>
      </c>
      <c r="F12" s="5"/>
    </row>
    <row r="13" customFormat="false" ht="15" hidden="false" customHeight="false" outlineLevel="0" collapsed="false">
      <c r="A13" s="5" t="s">
        <v>61</v>
      </c>
      <c r="B13" s="5" t="s">
        <v>63</v>
      </c>
      <c r="C13" s="5" t="s">
        <v>52</v>
      </c>
      <c r="D13" s="5" t="s">
        <v>48</v>
      </c>
      <c r="E13" s="5" t="s">
        <v>49</v>
      </c>
      <c r="F13" s="5"/>
    </row>
    <row r="14" customFormat="false" ht="15" hidden="false" customHeight="false" outlineLevel="0" collapsed="false">
      <c r="A14" s="5" t="s">
        <v>61</v>
      </c>
      <c r="B14" s="5" t="s">
        <v>64</v>
      </c>
      <c r="C14" s="5" t="s">
        <v>52</v>
      </c>
      <c r="D14" s="5" t="s">
        <v>48</v>
      </c>
      <c r="E14" s="5" t="s">
        <v>49</v>
      </c>
      <c r="F14" s="5"/>
    </row>
    <row r="15" customFormat="false" ht="15" hidden="false" customHeight="false" outlineLevel="0" collapsed="false">
      <c r="A15" s="5" t="s">
        <v>61</v>
      </c>
      <c r="B15" s="5" t="s">
        <v>65</v>
      </c>
      <c r="C15" s="5" t="s">
        <v>52</v>
      </c>
      <c r="D15" s="5" t="s">
        <v>48</v>
      </c>
      <c r="E15" s="5" t="s">
        <v>49</v>
      </c>
      <c r="F15" s="5"/>
    </row>
    <row r="16" customFormat="false" ht="15" hidden="false" customHeight="false" outlineLevel="0" collapsed="false">
      <c r="A16" s="5" t="s">
        <v>45</v>
      </c>
      <c r="B16" s="5" t="s">
        <v>66</v>
      </c>
      <c r="C16" s="5" t="s">
        <v>67</v>
      </c>
      <c r="D16" s="5" t="s">
        <v>48</v>
      </c>
      <c r="E16" s="5" t="s">
        <v>68</v>
      </c>
      <c r="F16" s="5"/>
    </row>
    <row r="17" customFormat="false" ht="15" hidden="false" customHeight="false" outlineLevel="0" collapsed="false">
      <c r="A17" s="5" t="s">
        <v>69</v>
      </c>
      <c r="B17" s="5" t="s">
        <v>70</v>
      </c>
      <c r="C17" s="5" t="s">
        <v>52</v>
      </c>
      <c r="D17" s="5" t="s">
        <v>48</v>
      </c>
      <c r="E17" s="5" t="s">
        <v>71</v>
      </c>
      <c r="F17" s="5" t="s">
        <v>72</v>
      </c>
    </row>
    <row r="18" customFormat="false" ht="15" hidden="false" customHeight="false" outlineLevel="0" collapsed="false">
      <c r="A18" s="5" t="s">
        <v>69</v>
      </c>
      <c r="B18" s="5" t="s">
        <v>73</v>
      </c>
      <c r="C18" s="5" t="s">
        <v>52</v>
      </c>
      <c r="D18" s="5" t="s">
        <v>48</v>
      </c>
      <c r="E18" s="5" t="s">
        <v>71</v>
      </c>
      <c r="F18" s="5" t="s">
        <v>74</v>
      </c>
    </row>
    <row r="19" customFormat="false" ht="15" hidden="false" customHeight="false" outlineLevel="0" collapsed="false">
      <c r="A19" s="5" t="s">
        <v>69</v>
      </c>
      <c r="B19" s="5" t="s">
        <v>75</v>
      </c>
      <c r="C19" s="5" t="s">
        <v>52</v>
      </c>
      <c r="D19" s="5" t="s">
        <v>48</v>
      </c>
      <c r="E19" s="5" t="s">
        <v>71</v>
      </c>
      <c r="F19" s="5" t="s">
        <v>76</v>
      </c>
    </row>
    <row r="20" customFormat="false" ht="15" hidden="false" customHeight="false" outlineLevel="0" collapsed="false">
      <c r="A20" s="5" t="s">
        <v>69</v>
      </c>
      <c r="B20" s="5" t="s">
        <v>77</v>
      </c>
      <c r="C20" s="5" t="s">
        <v>52</v>
      </c>
      <c r="D20" s="5" t="s">
        <v>48</v>
      </c>
      <c r="E20" s="5" t="s">
        <v>71</v>
      </c>
      <c r="F20" s="5" t="s">
        <v>78</v>
      </c>
    </row>
    <row r="21" customFormat="false" ht="15" hidden="false" customHeight="false" outlineLevel="0" collapsed="false">
      <c r="A21" s="5" t="s">
        <v>69</v>
      </c>
      <c r="B21" s="5" t="s">
        <v>79</v>
      </c>
      <c r="C21" s="5" t="s">
        <v>52</v>
      </c>
      <c r="D21" s="5" t="s">
        <v>48</v>
      </c>
      <c r="E21" s="5" t="s">
        <v>71</v>
      </c>
      <c r="F21" s="5" t="s">
        <v>80</v>
      </c>
    </row>
    <row r="22" customFormat="false" ht="15" hidden="false" customHeight="false" outlineLevel="0" collapsed="false">
      <c r="A22" s="5" t="s">
        <v>69</v>
      </c>
      <c r="B22" s="5" t="s">
        <v>81</v>
      </c>
      <c r="C22" s="5" t="s">
        <v>52</v>
      </c>
      <c r="D22" s="5" t="s">
        <v>48</v>
      </c>
      <c r="E22" s="5" t="s">
        <v>71</v>
      </c>
      <c r="F22" s="5" t="s">
        <v>82</v>
      </c>
    </row>
    <row r="23" customFormat="false" ht="15" hidden="false" customHeight="false" outlineLevel="0" collapsed="false">
      <c r="A23" s="5" t="s">
        <v>69</v>
      </c>
      <c r="B23" s="5" t="s">
        <v>83</v>
      </c>
      <c r="C23" s="5" t="s">
        <v>52</v>
      </c>
      <c r="D23" s="5" t="s">
        <v>48</v>
      </c>
      <c r="E23" s="5" t="s">
        <v>71</v>
      </c>
      <c r="F23" s="5" t="s">
        <v>84</v>
      </c>
    </row>
    <row r="24" customFormat="false" ht="15" hidden="false" customHeight="false" outlineLevel="0" collapsed="false">
      <c r="A24" s="5" t="s">
        <v>69</v>
      </c>
      <c r="B24" s="5" t="s">
        <v>85</v>
      </c>
      <c r="C24" s="5" t="s">
        <v>52</v>
      </c>
      <c r="D24" s="5" t="s">
        <v>48</v>
      </c>
      <c r="E24" s="5" t="s">
        <v>86</v>
      </c>
      <c r="F24" s="5" t="s">
        <v>87</v>
      </c>
    </row>
    <row r="25" customFormat="false" ht="15" hidden="false" customHeight="false" outlineLevel="0" collapsed="false">
      <c r="A25" s="5" t="s">
        <v>88</v>
      </c>
      <c r="B25" s="5" t="s">
        <v>89</v>
      </c>
      <c r="C25" s="5" t="s">
        <v>90</v>
      </c>
      <c r="D25" s="5" t="s">
        <v>91</v>
      </c>
      <c r="E25" s="5" t="s">
        <v>49</v>
      </c>
      <c r="F25" s="5"/>
    </row>
    <row r="26" customFormat="false" ht="15" hidden="false" customHeight="false" outlineLevel="0" collapsed="false">
      <c r="A26" s="5" t="s">
        <v>88</v>
      </c>
      <c r="B26" s="5" t="s">
        <v>92</v>
      </c>
      <c r="C26" s="5" t="s">
        <v>93</v>
      </c>
      <c r="D26" s="5" t="s">
        <v>48</v>
      </c>
      <c r="E26" s="5" t="s">
        <v>49</v>
      </c>
      <c r="F26" s="5"/>
    </row>
    <row r="27" customFormat="false" ht="15" hidden="false" customHeight="false" outlineLevel="0" collapsed="false">
      <c r="A27" s="5" t="s">
        <v>88</v>
      </c>
      <c r="B27" s="5" t="s">
        <v>94</v>
      </c>
      <c r="C27" s="5" t="s">
        <v>95</v>
      </c>
      <c r="D27" s="5" t="s">
        <v>48</v>
      </c>
      <c r="E27" s="5" t="s">
        <v>96</v>
      </c>
      <c r="F27" s="5" t="s">
        <v>97</v>
      </c>
    </row>
    <row r="28" customFormat="false" ht="15" hidden="false" customHeight="false" outlineLevel="0" collapsed="false">
      <c r="A28" s="5" t="s">
        <v>88</v>
      </c>
      <c r="B28" s="5" t="s">
        <v>98</v>
      </c>
      <c r="C28" s="5" t="s">
        <v>99</v>
      </c>
      <c r="D28" s="5" t="s">
        <v>48</v>
      </c>
      <c r="E28" s="5" t="s">
        <v>96</v>
      </c>
      <c r="F28" s="5" t="s">
        <v>100</v>
      </c>
    </row>
    <row r="29" customFormat="false" ht="15" hidden="false" customHeight="false" outlineLevel="0" collapsed="false">
      <c r="A29" s="5" t="s">
        <v>101</v>
      </c>
      <c r="B29" s="5" t="s">
        <v>102</v>
      </c>
      <c r="C29" s="5" t="s">
        <v>103</v>
      </c>
      <c r="D29" s="5" t="s">
        <v>48</v>
      </c>
      <c r="E29" s="5" t="s">
        <v>104</v>
      </c>
      <c r="F29" s="5"/>
    </row>
    <row r="30" customFormat="false" ht="15" hidden="false" customHeight="false" outlineLevel="0" collapsed="false">
      <c r="A30" s="5" t="s">
        <v>101</v>
      </c>
      <c r="B30" s="5" t="s">
        <v>105</v>
      </c>
      <c r="C30" s="5" t="s">
        <v>103</v>
      </c>
      <c r="D30" s="5" t="s">
        <v>48</v>
      </c>
      <c r="E30" s="5" t="s">
        <v>104</v>
      </c>
      <c r="F30" s="5"/>
    </row>
    <row r="31" customFormat="false" ht="15" hidden="false" customHeight="false" outlineLevel="0" collapsed="false">
      <c r="A31" s="5" t="s">
        <v>101</v>
      </c>
      <c r="B31" s="5" t="s">
        <v>106</v>
      </c>
      <c r="C31" s="5" t="s">
        <v>52</v>
      </c>
      <c r="D31" s="5" t="s">
        <v>48</v>
      </c>
      <c r="E31" s="5" t="s">
        <v>107</v>
      </c>
      <c r="F31" s="5"/>
    </row>
    <row r="32" customFormat="false" ht="15" hidden="false" customHeight="false" outlineLevel="0" collapsed="false">
      <c r="A32" s="5" t="s">
        <v>101</v>
      </c>
      <c r="B32" s="5" t="s">
        <v>108</v>
      </c>
      <c r="C32" s="5" t="s">
        <v>52</v>
      </c>
      <c r="D32" s="5" t="s">
        <v>48</v>
      </c>
      <c r="E32" s="5" t="s">
        <v>107</v>
      </c>
      <c r="F32" s="5"/>
    </row>
    <row r="33" customFormat="false" ht="15" hidden="false" customHeight="false" outlineLevel="0" collapsed="false">
      <c r="A33" s="5" t="s">
        <v>101</v>
      </c>
      <c r="B33" s="5" t="s">
        <v>109</v>
      </c>
      <c r="C33" s="5" t="s">
        <v>103</v>
      </c>
      <c r="D33" s="5" t="s">
        <v>48</v>
      </c>
      <c r="E33" s="5" t="s">
        <v>107</v>
      </c>
      <c r="F33" s="5"/>
    </row>
    <row r="34" customFormat="false" ht="15" hidden="false" customHeight="false" outlineLevel="0" collapsed="false">
      <c r="A34" s="5" t="s">
        <v>101</v>
      </c>
      <c r="B34" s="5" t="s">
        <v>110</v>
      </c>
      <c r="C34" s="5" t="s">
        <v>67</v>
      </c>
      <c r="D34" s="5" t="s">
        <v>48</v>
      </c>
      <c r="E34" s="5" t="s">
        <v>111</v>
      </c>
      <c r="F34" s="5"/>
    </row>
    <row r="35" customFormat="false" ht="15" hidden="false" customHeight="false" outlineLevel="0" collapsed="false">
      <c r="A35" s="5" t="s">
        <v>101</v>
      </c>
      <c r="B35" s="5" t="s">
        <v>112</v>
      </c>
      <c r="C35" s="5" t="s">
        <v>113</v>
      </c>
      <c r="D35" s="5" t="s">
        <v>48</v>
      </c>
      <c r="E35" s="5" t="s">
        <v>111</v>
      </c>
      <c r="F35" s="5" t="s">
        <v>114</v>
      </c>
    </row>
    <row r="36" customFormat="false" ht="15" hidden="false" customHeight="false" outlineLevel="0" collapsed="false">
      <c r="A36" s="5" t="s">
        <v>88</v>
      </c>
      <c r="B36" s="5" t="s">
        <v>115</v>
      </c>
      <c r="C36" s="5" t="s">
        <v>116</v>
      </c>
      <c r="D36" s="5" t="s">
        <v>48</v>
      </c>
      <c r="E36" s="5" t="s">
        <v>68</v>
      </c>
      <c r="F36" s="5"/>
    </row>
    <row r="37" customFormat="false" ht="15" hidden="false" customHeight="false" outlineLevel="0" collapsed="false">
      <c r="A37" s="5" t="s">
        <v>88</v>
      </c>
      <c r="B37" s="5" t="s">
        <v>117</v>
      </c>
      <c r="C37" s="5" t="s">
        <v>118</v>
      </c>
      <c r="D37" s="5" t="s">
        <v>48</v>
      </c>
      <c r="E37" s="5" t="s">
        <v>119</v>
      </c>
      <c r="F37" s="5"/>
    </row>
    <row r="38" customFormat="false" ht="15" hidden="false" customHeight="false" outlineLevel="0" collapsed="false">
      <c r="A38" s="5" t="s">
        <v>88</v>
      </c>
      <c r="B38" s="5" t="s">
        <v>120</v>
      </c>
      <c r="C38" s="5" t="s">
        <v>121</v>
      </c>
      <c r="D38" s="5" t="s">
        <v>48</v>
      </c>
      <c r="E38" s="5" t="s">
        <v>119</v>
      </c>
      <c r="F38" s="5"/>
    </row>
    <row r="39" customFormat="false" ht="15" hidden="false" customHeight="false" outlineLevel="0" collapsed="false">
      <c r="A39" s="5" t="s">
        <v>88</v>
      </c>
      <c r="B39" s="5" t="s">
        <v>122</v>
      </c>
      <c r="C39" s="5" t="s">
        <v>123</v>
      </c>
      <c r="D39" s="5" t="s">
        <v>48</v>
      </c>
      <c r="E39" s="5" t="s">
        <v>68</v>
      </c>
      <c r="F39" s="5" t="s">
        <v>124</v>
      </c>
    </row>
    <row r="40" customFormat="false" ht="15" hidden="false" customHeight="false" outlineLevel="0" collapsed="false">
      <c r="A40" s="5" t="s">
        <v>88</v>
      </c>
      <c r="B40" s="5" t="s">
        <v>125</v>
      </c>
      <c r="C40" s="5" t="s">
        <v>123</v>
      </c>
      <c r="D40" s="5" t="s">
        <v>48</v>
      </c>
      <c r="E40" s="5" t="s">
        <v>68</v>
      </c>
      <c r="F40" s="5"/>
    </row>
    <row r="41" customFormat="false" ht="15" hidden="false" customHeight="false" outlineLevel="0" collapsed="false">
      <c r="A41" s="5" t="s">
        <v>88</v>
      </c>
      <c r="B41" s="5" t="s">
        <v>126</v>
      </c>
      <c r="C41" s="5" t="s">
        <v>127</v>
      </c>
      <c r="D41" s="5" t="s">
        <v>48</v>
      </c>
      <c r="E41" s="5" t="s">
        <v>119</v>
      </c>
      <c r="F41" s="5"/>
    </row>
  </sheetData>
  <dataValidations count="2">
    <dataValidation allowBlank="true" errorStyle="stop" operator="between" showDropDown="false" showErrorMessage="false" showInputMessage="false" sqref="A2:A62" type="list">
      <formula1>"MANADO,SOROAKO,KENDARI,GORONTALO,MAKASSAR,MKS"</formula1>
      <formula2>0</formula2>
    </dataValidation>
    <dataValidation allowBlank="true" errorStyle="stop" operator="between" showDropDown="false" showErrorMessage="false" showInputMessage="false" sqref="D2:D62" type="list">
      <formula1>"pickup_suv,truk_ringan,bus"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4" t="s">
        <v>128</v>
      </c>
      <c r="B1" s="4" t="s">
        <v>129</v>
      </c>
      <c r="C1" s="4" t="s">
        <v>130</v>
      </c>
      <c r="D1" s="4" t="s">
        <v>131</v>
      </c>
    </row>
    <row r="2" customFormat="false" ht="15" hidden="false" customHeight="false" outlineLevel="0" collapsed="false">
      <c r="A2" s="6" t="str">
        <f aca="false">IF('DATA UNIT'!$B2="","",'DATA UNIT'!$B2)</f>
        <v>KT 8037 YV</v>
      </c>
      <c r="B2" s="6" t="str">
        <f aca="false">IF($A2="","",INDEX(PlanningItemsList,1))</f>
        <v>PM Check / Reguler Services</v>
      </c>
      <c r="C2" s="7"/>
      <c r="D2" s="7"/>
    </row>
    <row r="3" customFormat="false" ht="15" hidden="false" customHeight="false" outlineLevel="0" collapsed="false">
      <c r="A3" s="6" t="str">
        <f aca="false">IF('DATA UNIT'!$B2="","",'DATA UNIT'!$B2)</f>
        <v>KT 8037 YV</v>
      </c>
      <c r="B3" s="6" t="str">
        <f aca="false">IF($A3="","",INDEX(PlanningItemsList,2))</f>
        <v>Service A</v>
      </c>
      <c r="C3" s="7"/>
      <c r="D3" s="7"/>
    </row>
    <row r="4" customFormat="false" ht="15" hidden="false" customHeight="false" outlineLevel="0" collapsed="false">
      <c r="A4" s="6" t="str">
        <f aca="false">IF('DATA UNIT'!$B2="","",'DATA UNIT'!$B2)</f>
        <v>KT 8037 YV</v>
      </c>
      <c r="B4" s="6" t="str">
        <f aca="false">IF($A4="","",INDEX(PlanningItemsList,3))</f>
        <v>Service B</v>
      </c>
      <c r="C4" s="7"/>
      <c r="D4" s="7"/>
    </row>
    <row r="5" customFormat="false" ht="15" hidden="false" customHeight="false" outlineLevel="0" collapsed="false">
      <c r="A5" s="6" t="str">
        <f aca="false">IF('DATA UNIT'!$B2="","",'DATA UNIT'!$B2)</f>
        <v>KT 8037 YV</v>
      </c>
      <c r="B5" s="6" t="str">
        <f aca="false">IF($A5="","",INDEX(PlanningItemsList,4))</f>
        <v>Brake Pad</v>
      </c>
      <c r="C5" s="7"/>
      <c r="D5" s="7"/>
    </row>
    <row r="6" customFormat="false" ht="15" hidden="false" customHeight="false" outlineLevel="0" collapsed="false">
      <c r="A6" s="6" t="str">
        <f aca="false">IF('DATA UNIT'!$B2="","",'DATA UNIT'!$B2)</f>
        <v>KT 8037 YV</v>
      </c>
      <c r="B6" s="6" t="str">
        <f aca="false">IF($A6="","",INDEX(PlanningItemsList,5))</f>
        <v>Brake Shoe</v>
      </c>
      <c r="C6" s="7"/>
      <c r="D6" s="7"/>
    </row>
    <row r="7" customFormat="false" ht="15" hidden="false" customHeight="false" outlineLevel="0" collapsed="false">
      <c r="A7" s="6" t="str">
        <f aca="false">IF('DATA UNIT'!$B2="","",'DATA UNIT'!$B2)</f>
        <v>KT 8037 YV</v>
      </c>
      <c r="B7" s="6" t="str">
        <f aca="false">IF($A7="","",INDEX(PlanningItemsList,6))</f>
        <v>Accu</v>
      </c>
      <c r="C7" s="7"/>
      <c r="D7" s="7"/>
    </row>
    <row r="8" customFormat="false" ht="15" hidden="false" customHeight="false" outlineLevel="0" collapsed="false">
      <c r="A8" s="6" t="str">
        <f aca="false">IF('DATA UNIT'!$B2="","",'DATA UNIT'!$B2)</f>
        <v>KT 8037 YV</v>
      </c>
      <c r="B8" s="6" t="str">
        <f aca="false">IF($A8="","",INDEX(PlanningItemsList,7))</f>
        <v>Kampas Kopling Set</v>
      </c>
      <c r="C8" s="7"/>
      <c r="D8" s="7"/>
    </row>
    <row r="9" customFormat="false" ht="15" hidden="false" customHeight="false" outlineLevel="0" collapsed="false">
      <c r="A9" s="6" t="str">
        <f aca="false">IF('DATA UNIT'!$B2="","",'DATA UNIT'!$B2)</f>
        <v>KT 8037 YV</v>
      </c>
      <c r="B9" s="6" t="str">
        <f aca="false">IF($A9="","",INDEX(PlanningItemsList,8))</f>
        <v>Wiper Blade</v>
      </c>
      <c r="C9" s="7"/>
      <c r="D9" s="7"/>
    </row>
    <row r="10" customFormat="false" ht="15" hidden="false" customHeight="false" outlineLevel="0" collapsed="false">
      <c r="A10" s="6" t="str">
        <f aca="false">IF('DATA UNIT'!$B2="","",'DATA UNIT'!$B2)</f>
        <v>KT 8037 YV</v>
      </c>
      <c r="B10" s="6" t="str">
        <f aca="false">IF($A10="","",INDEX(PlanningItemsList,9))</f>
        <v>Ban Depan</v>
      </c>
      <c r="C10" s="7"/>
      <c r="D10" s="7"/>
    </row>
    <row r="11" customFormat="false" ht="15" hidden="false" customHeight="false" outlineLevel="0" collapsed="false">
      <c r="A11" s="6" t="str">
        <f aca="false">IF('DATA UNIT'!$B2="","",'DATA UNIT'!$B2)</f>
        <v>KT 8037 YV</v>
      </c>
      <c r="B11" s="6" t="str">
        <f aca="false">IF($A11="","",INDEX(PlanningItemsList,10))</f>
        <v>Ban Belakang</v>
      </c>
      <c r="C11" s="7"/>
      <c r="D11" s="7"/>
    </row>
    <row r="12" customFormat="false" ht="15" hidden="false" customHeight="false" outlineLevel="0" collapsed="false">
      <c r="A12" s="6" t="str">
        <f aca="false">IF('DATA UNIT'!$B2="","",'DATA UNIT'!$B2)</f>
        <v>KT 8037 YV</v>
      </c>
      <c r="B12" s="6" t="str">
        <f aca="false">IF($A12="","",INDEX(PlanningItemsList,11))</f>
        <v>Ban Serep</v>
      </c>
      <c r="C12" s="7"/>
      <c r="D12" s="7"/>
    </row>
    <row r="13" customFormat="false" ht="15" hidden="false" customHeight="false" outlineLevel="0" collapsed="false">
      <c r="A13" s="6" t="str">
        <f aca="false">IF('DATA UNIT'!$B2="","",'DATA UNIT'!$B2)</f>
        <v>KT 8037 YV</v>
      </c>
      <c r="B13" s="6" t="str">
        <f aca="false">IF($A13="","",INDEX(PlanningItemsList,12))</f>
        <v>Greasing</v>
      </c>
      <c r="C13" s="7"/>
      <c r="D13" s="7"/>
    </row>
    <row r="14" customFormat="false" ht="15" hidden="false" customHeight="false" outlineLevel="0" collapsed="false">
      <c r="A14" s="6" t="str">
        <f aca="false">IF('DATA UNIT'!$B2="","",'DATA UNIT'!$B2)</f>
        <v>KT 8037 YV</v>
      </c>
      <c r="B14" s="6" t="str">
        <f aca="false">IF($A14="","",INDEX(PlanningItemsList,13))</f>
        <v>V-Belt</v>
      </c>
      <c r="C14" s="7"/>
      <c r="D14" s="7"/>
    </row>
    <row r="15" customFormat="false" ht="15" hidden="false" customHeight="false" outlineLevel="0" collapsed="false">
      <c r="A15" s="6" t="str">
        <f aca="false">IF('DATA UNIT'!$B2="","",'DATA UNIT'!$B2)</f>
        <v>KT 8037 YV</v>
      </c>
      <c r="B15" s="6" t="str">
        <f aca="false">IF($A15="","",INDEX(PlanningItemsList,14))</f>
        <v>Sarung Jok</v>
      </c>
      <c r="C15" s="7"/>
      <c r="D15" s="7"/>
    </row>
    <row r="16" customFormat="false" ht="15" hidden="false" customHeight="false" outlineLevel="0" collapsed="false">
      <c r="A16" s="6" t="str">
        <f aca="false">IF('DATA UNIT'!$B2="","",'DATA UNIT'!$B2)</f>
        <v>KT 8037 YV</v>
      </c>
      <c r="B16" s="6" t="str">
        <f aca="false">IF($A16="","",INDEX(PlanningItemsList,15))</f>
        <v>Karpet Karet</v>
      </c>
      <c r="C16" s="7"/>
      <c r="D16" s="7"/>
    </row>
    <row r="17" customFormat="false" ht="15" hidden="false" customHeight="false" outlineLevel="0" collapsed="false">
      <c r="A17" s="6" t="str">
        <f aca="false">IF('DATA UNIT'!$B2="","",'DATA UNIT'!$B2)</f>
        <v>KT 8037 YV</v>
      </c>
      <c r="B17" s="6" t="str">
        <f aca="false">IF($A17="","",INDEX(PlanningItemsList,16))</f>
        <v>Karpet Dasar</v>
      </c>
      <c r="C17" s="7"/>
      <c r="D17" s="7"/>
    </row>
    <row r="18" customFormat="false" ht="15" hidden="false" customHeight="false" outlineLevel="0" collapsed="false">
      <c r="A18" s="6" t="str">
        <f aca="false">IF('DATA UNIT'!$B2="","",'DATA UNIT'!$B2)</f>
        <v>KT 8037 YV</v>
      </c>
      <c r="B18" s="6" t="str">
        <f aca="false">IF($A18="","",INDEX(PlanningItemsList,17))</f>
        <v>Flushing Radiator</v>
      </c>
      <c r="C18" s="7"/>
      <c r="D18" s="7"/>
    </row>
    <row r="19" customFormat="false" ht="15" hidden="false" customHeight="false" outlineLevel="0" collapsed="false">
      <c r="A19" s="6" t="str">
        <f aca="false">IF('DATA UNIT'!$B2="","",'DATA UNIT'!$B2)</f>
        <v>KT 8037 YV</v>
      </c>
      <c r="B19" s="6" t="str">
        <f aca="false">IF($A19="","",INDEX(PlanningItemsList,18))</f>
        <v>Flushing Steering</v>
      </c>
      <c r="C19" s="7"/>
      <c r="D19" s="7"/>
    </row>
    <row r="20" customFormat="false" ht="15" hidden="false" customHeight="false" outlineLevel="0" collapsed="false">
      <c r="A20" s="6" t="str">
        <f aca="false">IF('DATA UNIT'!$B2="","",'DATA UNIT'!$B2)</f>
        <v>KT 8037 YV</v>
      </c>
      <c r="B20" s="6" t="str">
        <f aca="false">IF($A20="","",INDEX(PlanningItemsList,19))</f>
        <v>Flushing Injector</v>
      </c>
      <c r="C20" s="7"/>
      <c r="D20" s="7"/>
    </row>
    <row r="21" customFormat="false" ht="15" hidden="false" customHeight="false" outlineLevel="0" collapsed="false">
      <c r="A21" s="6" t="str">
        <f aca="false">IF('DATA UNIT'!$B2="","",'DATA UNIT'!$B2)</f>
        <v>KT 8037 YV</v>
      </c>
      <c r="B21" s="6" t="str">
        <f aca="false">IF($A21="","",INDEX(PlanningItemsList,20))</f>
        <v>Flushing Rem</v>
      </c>
      <c r="C21" s="7"/>
      <c r="D21" s="7"/>
    </row>
    <row r="22" customFormat="false" ht="15" hidden="false" customHeight="false" outlineLevel="0" collapsed="false">
      <c r="A22" s="6" t="str">
        <f aca="false">IF('DATA UNIT'!$B3="","",'DATA UNIT'!$B3)</f>
        <v>DB 8214 LO</v>
      </c>
      <c r="B22" s="6" t="str">
        <f aca="false">IF($A22="","",INDEX(PlanningItemsList,1))</f>
        <v>PM Check / Reguler Services</v>
      </c>
      <c r="C22" s="7"/>
      <c r="D22" s="7"/>
    </row>
    <row r="23" customFormat="false" ht="15" hidden="false" customHeight="false" outlineLevel="0" collapsed="false">
      <c r="A23" s="6" t="str">
        <f aca="false">IF('DATA UNIT'!$B3="","",'DATA UNIT'!$B3)</f>
        <v>DB 8214 LO</v>
      </c>
      <c r="B23" s="6" t="str">
        <f aca="false">IF($A23="","",INDEX(PlanningItemsList,2))</f>
        <v>Service A</v>
      </c>
      <c r="C23" s="7"/>
      <c r="D23" s="7"/>
    </row>
    <row r="24" customFormat="false" ht="15" hidden="false" customHeight="false" outlineLevel="0" collapsed="false">
      <c r="A24" s="6" t="str">
        <f aca="false">IF('DATA UNIT'!$B3="","",'DATA UNIT'!$B3)</f>
        <v>DB 8214 LO</v>
      </c>
      <c r="B24" s="6" t="str">
        <f aca="false">IF($A24="","",INDEX(PlanningItemsList,3))</f>
        <v>Service B</v>
      </c>
      <c r="C24" s="7"/>
      <c r="D24" s="7"/>
    </row>
    <row r="25" customFormat="false" ht="15" hidden="false" customHeight="false" outlineLevel="0" collapsed="false">
      <c r="A25" s="6" t="str">
        <f aca="false">IF('DATA UNIT'!$B3="","",'DATA UNIT'!$B3)</f>
        <v>DB 8214 LO</v>
      </c>
      <c r="B25" s="6" t="str">
        <f aca="false">IF($A25="","",INDEX(PlanningItemsList,4))</f>
        <v>Brake Pad</v>
      </c>
      <c r="C25" s="7"/>
      <c r="D25" s="7"/>
    </row>
    <row r="26" customFormat="false" ht="15" hidden="false" customHeight="false" outlineLevel="0" collapsed="false">
      <c r="A26" s="6" t="str">
        <f aca="false">IF('DATA UNIT'!$B3="","",'DATA UNIT'!$B3)</f>
        <v>DB 8214 LO</v>
      </c>
      <c r="B26" s="6" t="str">
        <f aca="false">IF($A26="","",INDEX(PlanningItemsList,5))</f>
        <v>Brake Shoe</v>
      </c>
      <c r="C26" s="7"/>
      <c r="D26" s="7"/>
    </row>
    <row r="27" customFormat="false" ht="15" hidden="false" customHeight="false" outlineLevel="0" collapsed="false">
      <c r="A27" s="6" t="str">
        <f aca="false">IF('DATA UNIT'!$B3="","",'DATA UNIT'!$B3)</f>
        <v>DB 8214 LO</v>
      </c>
      <c r="B27" s="6" t="str">
        <f aca="false">IF($A27="","",INDEX(PlanningItemsList,6))</f>
        <v>Accu</v>
      </c>
      <c r="C27" s="7"/>
      <c r="D27" s="7"/>
    </row>
    <row r="28" customFormat="false" ht="15" hidden="false" customHeight="false" outlineLevel="0" collapsed="false">
      <c r="A28" s="6" t="str">
        <f aca="false">IF('DATA UNIT'!$B3="","",'DATA UNIT'!$B3)</f>
        <v>DB 8214 LO</v>
      </c>
      <c r="B28" s="6" t="str">
        <f aca="false">IF($A28="","",INDEX(PlanningItemsList,7))</f>
        <v>Kampas Kopling Set</v>
      </c>
      <c r="C28" s="7"/>
      <c r="D28" s="7"/>
    </row>
    <row r="29" customFormat="false" ht="15" hidden="false" customHeight="false" outlineLevel="0" collapsed="false">
      <c r="A29" s="6" t="str">
        <f aca="false">IF('DATA UNIT'!$B3="","",'DATA UNIT'!$B3)</f>
        <v>DB 8214 LO</v>
      </c>
      <c r="B29" s="6" t="str">
        <f aca="false">IF($A29="","",INDEX(PlanningItemsList,8))</f>
        <v>Wiper Blade</v>
      </c>
      <c r="C29" s="7"/>
      <c r="D29" s="7"/>
    </row>
    <row r="30" customFormat="false" ht="15" hidden="false" customHeight="false" outlineLevel="0" collapsed="false">
      <c r="A30" s="6" t="str">
        <f aca="false">IF('DATA UNIT'!$B3="","",'DATA UNIT'!$B3)</f>
        <v>DB 8214 LO</v>
      </c>
      <c r="B30" s="6" t="str">
        <f aca="false">IF($A30="","",INDEX(PlanningItemsList,9))</f>
        <v>Ban Depan</v>
      </c>
      <c r="C30" s="7"/>
      <c r="D30" s="7"/>
    </row>
    <row r="31" customFormat="false" ht="15" hidden="false" customHeight="false" outlineLevel="0" collapsed="false">
      <c r="A31" s="6" t="str">
        <f aca="false">IF('DATA UNIT'!$B3="","",'DATA UNIT'!$B3)</f>
        <v>DB 8214 LO</v>
      </c>
      <c r="B31" s="6" t="str">
        <f aca="false">IF($A31="","",INDEX(PlanningItemsList,10))</f>
        <v>Ban Belakang</v>
      </c>
      <c r="C31" s="7"/>
      <c r="D31" s="7"/>
    </row>
    <row r="32" customFormat="false" ht="15" hidden="false" customHeight="false" outlineLevel="0" collapsed="false">
      <c r="A32" s="6" t="str">
        <f aca="false">IF('DATA UNIT'!$B3="","",'DATA UNIT'!$B3)</f>
        <v>DB 8214 LO</v>
      </c>
      <c r="B32" s="6" t="str">
        <f aca="false">IF($A32="","",INDEX(PlanningItemsList,11))</f>
        <v>Ban Serep</v>
      </c>
      <c r="C32" s="7"/>
      <c r="D32" s="7"/>
    </row>
    <row r="33" customFormat="false" ht="15" hidden="false" customHeight="false" outlineLevel="0" collapsed="false">
      <c r="A33" s="6" t="str">
        <f aca="false">IF('DATA UNIT'!$B3="","",'DATA UNIT'!$B3)</f>
        <v>DB 8214 LO</v>
      </c>
      <c r="B33" s="6" t="str">
        <f aca="false">IF($A33="","",INDEX(PlanningItemsList,12))</f>
        <v>Greasing</v>
      </c>
      <c r="C33" s="7"/>
      <c r="D33" s="7"/>
    </row>
    <row r="34" customFormat="false" ht="15" hidden="false" customHeight="false" outlineLevel="0" collapsed="false">
      <c r="A34" s="6" t="str">
        <f aca="false">IF('DATA UNIT'!$B3="","",'DATA UNIT'!$B3)</f>
        <v>DB 8214 LO</v>
      </c>
      <c r="B34" s="6" t="str">
        <f aca="false">IF($A34="","",INDEX(PlanningItemsList,13))</f>
        <v>V-Belt</v>
      </c>
      <c r="C34" s="7"/>
      <c r="D34" s="7"/>
    </row>
    <row r="35" customFormat="false" ht="15" hidden="false" customHeight="false" outlineLevel="0" collapsed="false">
      <c r="A35" s="6" t="str">
        <f aca="false">IF('DATA UNIT'!$B3="","",'DATA UNIT'!$B3)</f>
        <v>DB 8214 LO</v>
      </c>
      <c r="B35" s="6" t="str">
        <f aca="false">IF($A35="","",INDEX(PlanningItemsList,14))</f>
        <v>Sarung Jok</v>
      </c>
      <c r="C35" s="7"/>
      <c r="D35" s="7"/>
    </row>
    <row r="36" customFormat="false" ht="15" hidden="false" customHeight="false" outlineLevel="0" collapsed="false">
      <c r="A36" s="6" t="str">
        <f aca="false">IF('DATA UNIT'!$B3="","",'DATA UNIT'!$B3)</f>
        <v>DB 8214 LO</v>
      </c>
      <c r="B36" s="6" t="str">
        <f aca="false">IF($A36="","",INDEX(PlanningItemsList,15))</f>
        <v>Karpet Karet</v>
      </c>
      <c r="C36" s="7"/>
      <c r="D36" s="7"/>
    </row>
    <row r="37" customFormat="false" ht="15" hidden="false" customHeight="false" outlineLevel="0" collapsed="false">
      <c r="A37" s="6" t="str">
        <f aca="false">IF('DATA UNIT'!$B3="","",'DATA UNIT'!$B3)</f>
        <v>DB 8214 LO</v>
      </c>
      <c r="B37" s="6" t="str">
        <f aca="false">IF($A37="","",INDEX(PlanningItemsList,16))</f>
        <v>Karpet Dasar</v>
      </c>
      <c r="C37" s="7"/>
      <c r="D37" s="7"/>
    </row>
    <row r="38" customFormat="false" ht="15" hidden="false" customHeight="false" outlineLevel="0" collapsed="false">
      <c r="A38" s="6" t="str">
        <f aca="false">IF('DATA UNIT'!$B3="","",'DATA UNIT'!$B3)</f>
        <v>DB 8214 LO</v>
      </c>
      <c r="B38" s="6" t="str">
        <f aca="false">IF($A38="","",INDEX(PlanningItemsList,17))</f>
        <v>Flushing Radiator</v>
      </c>
      <c r="C38" s="7"/>
      <c r="D38" s="7"/>
    </row>
    <row r="39" customFormat="false" ht="15" hidden="false" customHeight="false" outlineLevel="0" collapsed="false">
      <c r="A39" s="6" t="str">
        <f aca="false">IF('DATA UNIT'!$B3="","",'DATA UNIT'!$B3)</f>
        <v>DB 8214 LO</v>
      </c>
      <c r="B39" s="6" t="str">
        <f aca="false">IF($A39="","",INDEX(PlanningItemsList,18))</f>
        <v>Flushing Steering</v>
      </c>
      <c r="C39" s="7"/>
      <c r="D39" s="7"/>
    </row>
    <row r="40" customFormat="false" ht="15" hidden="false" customHeight="false" outlineLevel="0" collapsed="false">
      <c r="A40" s="6" t="str">
        <f aca="false">IF('DATA UNIT'!$B3="","",'DATA UNIT'!$B3)</f>
        <v>DB 8214 LO</v>
      </c>
      <c r="B40" s="6" t="str">
        <f aca="false">IF($A40="","",INDEX(PlanningItemsList,19))</f>
        <v>Flushing Injector</v>
      </c>
      <c r="C40" s="7"/>
      <c r="D40" s="7"/>
    </row>
    <row r="41" customFormat="false" ht="15" hidden="false" customHeight="false" outlineLevel="0" collapsed="false">
      <c r="A41" s="6" t="str">
        <f aca="false">IF('DATA UNIT'!$B3="","",'DATA UNIT'!$B3)</f>
        <v>DB 8214 LO</v>
      </c>
      <c r="B41" s="6" t="str">
        <f aca="false">IF($A41="","",INDEX(PlanningItemsList,20))</f>
        <v>Flushing Rem</v>
      </c>
      <c r="C41" s="7"/>
      <c r="D41" s="7"/>
    </row>
    <row r="42" customFormat="false" ht="15" hidden="false" customHeight="false" outlineLevel="0" collapsed="false">
      <c r="A42" s="6" t="str">
        <f aca="false">IF('DATA UNIT'!$B4="","",'DATA UNIT'!$B4)</f>
        <v>DB 8631 LO</v>
      </c>
      <c r="B42" s="6" t="str">
        <f aca="false">IF($A42="","",INDEX(PlanningItemsList,1))</f>
        <v>PM Check / Reguler Services</v>
      </c>
      <c r="C42" s="7"/>
      <c r="D42" s="7"/>
    </row>
    <row r="43" customFormat="false" ht="15" hidden="false" customHeight="false" outlineLevel="0" collapsed="false">
      <c r="A43" s="6" t="str">
        <f aca="false">IF('DATA UNIT'!$B4="","",'DATA UNIT'!$B4)</f>
        <v>DB 8631 LO</v>
      </c>
      <c r="B43" s="6" t="str">
        <f aca="false">IF($A43="","",INDEX(PlanningItemsList,2))</f>
        <v>Service A</v>
      </c>
      <c r="C43" s="7"/>
      <c r="D43" s="7"/>
    </row>
    <row r="44" customFormat="false" ht="15" hidden="false" customHeight="false" outlineLevel="0" collapsed="false">
      <c r="A44" s="6" t="str">
        <f aca="false">IF('DATA UNIT'!$B4="","",'DATA UNIT'!$B4)</f>
        <v>DB 8631 LO</v>
      </c>
      <c r="B44" s="6" t="str">
        <f aca="false">IF($A44="","",INDEX(PlanningItemsList,3))</f>
        <v>Service B</v>
      </c>
      <c r="C44" s="7"/>
      <c r="D44" s="7"/>
    </row>
    <row r="45" customFormat="false" ht="15" hidden="false" customHeight="false" outlineLevel="0" collapsed="false">
      <c r="A45" s="6" t="str">
        <f aca="false">IF('DATA UNIT'!$B4="","",'DATA UNIT'!$B4)</f>
        <v>DB 8631 LO</v>
      </c>
      <c r="B45" s="6" t="str">
        <f aca="false">IF($A45="","",INDEX(PlanningItemsList,4))</f>
        <v>Brake Pad</v>
      </c>
      <c r="C45" s="7"/>
      <c r="D45" s="7"/>
    </row>
    <row r="46" customFormat="false" ht="15" hidden="false" customHeight="false" outlineLevel="0" collapsed="false">
      <c r="A46" s="6" t="str">
        <f aca="false">IF('DATA UNIT'!$B4="","",'DATA UNIT'!$B4)</f>
        <v>DB 8631 LO</v>
      </c>
      <c r="B46" s="6" t="str">
        <f aca="false">IF($A46="","",INDEX(PlanningItemsList,5))</f>
        <v>Brake Shoe</v>
      </c>
      <c r="C46" s="7"/>
      <c r="D46" s="7"/>
    </row>
    <row r="47" customFormat="false" ht="15" hidden="false" customHeight="false" outlineLevel="0" collapsed="false">
      <c r="A47" s="6" t="str">
        <f aca="false">IF('DATA UNIT'!$B4="","",'DATA UNIT'!$B4)</f>
        <v>DB 8631 LO</v>
      </c>
      <c r="B47" s="6" t="str">
        <f aca="false">IF($A47="","",INDEX(PlanningItemsList,6))</f>
        <v>Accu</v>
      </c>
      <c r="C47" s="7"/>
      <c r="D47" s="7"/>
    </row>
    <row r="48" customFormat="false" ht="15" hidden="false" customHeight="false" outlineLevel="0" collapsed="false">
      <c r="A48" s="6" t="str">
        <f aca="false">IF('DATA UNIT'!$B4="","",'DATA UNIT'!$B4)</f>
        <v>DB 8631 LO</v>
      </c>
      <c r="B48" s="6" t="str">
        <f aca="false">IF($A48="","",INDEX(PlanningItemsList,7))</f>
        <v>Kampas Kopling Set</v>
      </c>
      <c r="C48" s="7"/>
      <c r="D48" s="7"/>
    </row>
    <row r="49" customFormat="false" ht="15" hidden="false" customHeight="false" outlineLevel="0" collapsed="false">
      <c r="A49" s="6" t="str">
        <f aca="false">IF('DATA UNIT'!$B4="","",'DATA UNIT'!$B4)</f>
        <v>DB 8631 LO</v>
      </c>
      <c r="B49" s="6" t="str">
        <f aca="false">IF($A49="","",INDEX(PlanningItemsList,8))</f>
        <v>Wiper Blade</v>
      </c>
      <c r="C49" s="7"/>
      <c r="D49" s="7"/>
    </row>
    <row r="50" customFormat="false" ht="15" hidden="false" customHeight="false" outlineLevel="0" collapsed="false">
      <c r="A50" s="6" t="str">
        <f aca="false">IF('DATA UNIT'!$B4="","",'DATA UNIT'!$B4)</f>
        <v>DB 8631 LO</v>
      </c>
      <c r="B50" s="6" t="str">
        <f aca="false">IF($A50="","",INDEX(PlanningItemsList,9))</f>
        <v>Ban Depan</v>
      </c>
      <c r="C50" s="7"/>
      <c r="D50" s="7"/>
    </row>
    <row r="51" customFormat="false" ht="15" hidden="false" customHeight="false" outlineLevel="0" collapsed="false">
      <c r="A51" s="6" t="str">
        <f aca="false">IF('DATA UNIT'!$B4="","",'DATA UNIT'!$B4)</f>
        <v>DB 8631 LO</v>
      </c>
      <c r="B51" s="6" t="str">
        <f aca="false">IF($A51="","",INDEX(PlanningItemsList,10))</f>
        <v>Ban Belakang</v>
      </c>
      <c r="C51" s="7"/>
      <c r="D51" s="7"/>
    </row>
    <row r="52" customFormat="false" ht="15" hidden="false" customHeight="false" outlineLevel="0" collapsed="false">
      <c r="A52" s="6" t="str">
        <f aca="false">IF('DATA UNIT'!$B4="","",'DATA UNIT'!$B4)</f>
        <v>DB 8631 LO</v>
      </c>
      <c r="B52" s="6" t="str">
        <f aca="false">IF($A52="","",INDEX(PlanningItemsList,11))</f>
        <v>Ban Serep</v>
      </c>
      <c r="C52" s="7"/>
      <c r="D52" s="7"/>
    </row>
    <row r="53" customFormat="false" ht="15" hidden="false" customHeight="false" outlineLevel="0" collapsed="false">
      <c r="A53" s="6" t="str">
        <f aca="false">IF('DATA UNIT'!$B4="","",'DATA UNIT'!$B4)</f>
        <v>DB 8631 LO</v>
      </c>
      <c r="B53" s="6" t="str">
        <f aca="false">IF($A53="","",INDEX(PlanningItemsList,12))</f>
        <v>Greasing</v>
      </c>
      <c r="C53" s="7"/>
      <c r="D53" s="7"/>
    </row>
    <row r="54" customFormat="false" ht="15" hidden="false" customHeight="false" outlineLevel="0" collapsed="false">
      <c r="A54" s="6" t="str">
        <f aca="false">IF('DATA UNIT'!$B4="","",'DATA UNIT'!$B4)</f>
        <v>DB 8631 LO</v>
      </c>
      <c r="B54" s="6" t="str">
        <f aca="false">IF($A54="","",INDEX(PlanningItemsList,13))</f>
        <v>V-Belt</v>
      </c>
      <c r="C54" s="7"/>
      <c r="D54" s="7"/>
    </row>
    <row r="55" customFormat="false" ht="15" hidden="false" customHeight="false" outlineLevel="0" collapsed="false">
      <c r="A55" s="6" t="str">
        <f aca="false">IF('DATA UNIT'!$B4="","",'DATA UNIT'!$B4)</f>
        <v>DB 8631 LO</v>
      </c>
      <c r="B55" s="6" t="str">
        <f aca="false">IF($A55="","",INDEX(PlanningItemsList,14))</f>
        <v>Sarung Jok</v>
      </c>
      <c r="C55" s="7"/>
      <c r="D55" s="7"/>
    </row>
    <row r="56" customFormat="false" ht="15" hidden="false" customHeight="false" outlineLevel="0" collapsed="false">
      <c r="A56" s="6" t="str">
        <f aca="false">IF('DATA UNIT'!$B4="","",'DATA UNIT'!$B4)</f>
        <v>DB 8631 LO</v>
      </c>
      <c r="B56" s="6" t="str">
        <f aca="false">IF($A56="","",INDEX(PlanningItemsList,15))</f>
        <v>Karpet Karet</v>
      </c>
      <c r="C56" s="7"/>
      <c r="D56" s="7"/>
    </row>
    <row r="57" customFormat="false" ht="15" hidden="false" customHeight="false" outlineLevel="0" collapsed="false">
      <c r="A57" s="6" t="str">
        <f aca="false">IF('DATA UNIT'!$B4="","",'DATA UNIT'!$B4)</f>
        <v>DB 8631 LO</v>
      </c>
      <c r="B57" s="6" t="str">
        <f aca="false">IF($A57="","",INDEX(PlanningItemsList,16))</f>
        <v>Karpet Dasar</v>
      </c>
      <c r="C57" s="7"/>
      <c r="D57" s="7"/>
    </row>
    <row r="58" customFormat="false" ht="15" hidden="false" customHeight="false" outlineLevel="0" collapsed="false">
      <c r="A58" s="6" t="str">
        <f aca="false">IF('DATA UNIT'!$B4="","",'DATA UNIT'!$B4)</f>
        <v>DB 8631 LO</v>
      </c>
      <c r="B58" s="6" t="str">
        <f aca="false">IF($A58="","",INDEX(PlanningItemsList,17))</f>
        <v>Flushing Radiator</v>
      </c>
      <c r="C58" s="7"/>
      <c r="D58" s="7"/>
    </row>
    <row r="59" customFormat="false" ht="15" hidden="false" customHeight="false" outlineLevel="0" collapsed="false">
      <c r="A59" s="6" t="str">
        <f aca="false">IF('DATA UNIT'!$B4="","",'DATA UNIT'!$B4)</f>
        <v>DB 8631 LO</v>
      </c>
      <c r="B59" s="6" t="str">
        <f aca="false">IF($A59="","",INDEX(PlanningItemsList,18))</f>
        <v>Flushing Steering</v>
      </c>
      <c r="C59" s="7"/>
      <c r="D59" s="7"/>
    </row>
    <row r="60" customFormat="false" ht="15" hidden="false" customHeight="false" outlineLevel="0" collapsed="false">
      <c r="A60" s="6" t="str">
        <f aca="false">IF('DATA UNIT'!$B4="","",'DATA UNIT'!$B4)</f>
        <v>DB 8631 LO</v>
      </c>
      <c r="B60" s="6" t="str">
        <f aca="false">IF($A60="","",INDEX(PlanningItemsList,19))</f>
        <v>Flushing Injector</v>
      </c>
      <c r="C60" s="7"/>
      <c r="D60" s="7"/>
    </row>
    <row r="61" customFormat="false" ht="15" hidden="false" customHeight="false" outlineLevel="0" collapsed="false">
      <c r="A61" s="6" t="str">
        <f aca="false">IF('DATA UNIT'!$B4="","",'DATA UNIT'!$B4)</f>
        <v>DB 8631 LO</v>
      </c>
      <c r="B61" s="6" t="str">
        <f aca="false">IF($A61="","",INDEX(PlanningItemsList,20))</f>
        <v>Flushing Rem</v>
      </c>
      <c r="C61" s="7"/>
      <c r="D61" s="7"/>
    </row>
    <row r="62" customFormat="false" ht="15" hidden="false" customHeight="false" outlineLevel="0" collapsed="false">
      <c r="A62" s="6" t="str">
        <f aca="false">IF('DATA UNIT'!$B5="","",'DATA UNIT'!$B5)</f>
        <v>DD 8185 SQ</v>
      </c>
      <c r="B62" s="6" t="str">
        <f aca="false">IF($A62="","",INDEX(PlanningItemsList,1))</f>
        <v>PM Check / Reguler Services</v>
      </c>
      <c r="C62" s="7"/>
      <c r="D62" s="7"/>
    </row>
    <row r="63" customFormat="false" ht="15" hidden="false" customHeight="false" outlineLevel="0" collapsed="false">
      <c r="A63" s="6" t="str">
        <f aca="false">IF('DATA UNIT'!$B5="","",'DATA UNIT'!$B5)</f>
        <v>DD 8185 SQ</v>
      </c>
      <c r="B63" s="6" t="str">
        <f aca="false">IF($A63="","",INDEX(PlanningItemsList,2))</f>
        <v>Service A</v>
      </c>
      <c r="C63" s="7"/>
      <c r="D63" s="7"/>
    </row>
    <row r="64" customFormat="false" ht="15" hidden="false" customHeight="false" outlineLevel="0" collapsed="false">
      <c r="A64" s="6" t="str">
        <f aca="false">IF('DATA UNIT'!$B5="","",'DATA UNIT'!$B5)</f>
        <v>DD 8185 SQ</v>
      </c>
      <c r="B64" s="6" t="str">
        <f aca="false">IF($A64="","",INDEX(PlanningItemsList,3))</f>
        <v>Service B</v>
      </c>
      <c r="C64" s="7"/>
      <c r="D64" s="7"/>
    </row>
    <row r="65" customFormat="false" ht="15" hidden="false" customHeight="false" outlineLevel="0" collapsed="false">
      <c r="A65" s="6" t="str">
        <f aca="false">IF('DATA UNIT'!$B5="","",'DATA UNIT'!$B5)</f>
        <v>DD 8185 SQ</v>
      </c>
      <c r="B65" s="6" t="str">
        <f aca="false">IF($A65="","",INDEX(PlanningItemsList,4))</f>
        <v>Brake Pad</v>
      </c>
      <c r="C65" s="7"/>
      <c r="D65" s="7"/>
    </row>
    <row r="66" customFormat="false" ht="15" hidden="false" customHeight="false" outlineLevel="0" collapsed="false">
      <c r="A66" s="6" t="str">
        <f aca="false">IF('DATA UNIT'!$B5="","",'DATA UNIT'!$B5)</f>
        <v>DD 8185 SQ</v>
      </c>
      <c r="B66" s="6" t="str">
        <f aca="false">IF($A66="","",INDEX(PlanningItemsList,5))</f>
        <v>Brake Shoe</v>
      </c>
      <c r="C66" s="7"/>
      <c r="D66" s="7"/>
    </row>
    <row r="67" customFormat="false" ht="15" hidden="false" customHeight="false" outlineLevel="0" collapsed="false">
      <c r="A67" s="6" t="str">
        <f aca="false">IF('DATA UNIT'!$B5="","",'DATA UNIT'!$B5)</f>
        <v>DD 8185 SQ</v>
      </c>
      <c r="B67" s="6" t="str">
        <f aca="false">IF($A67="","",INDEX(PlanningItemsList,6))</f>
        <v>Accu</v>
      </c>
      <c r="C67" s="7"/>
      <c r="D67" s="7"/>
    </row>
    <row r="68" customFormat="false" ht="15" hidden="false" customHeight="false" outlineLevel="0" collapsed="false">
      <c r="A68" s="6" t="str">
        <f aca="false">IF('DATA UNIT'!$B5="","",'DATA UNIT'!$B5)</f>
        <v>DD 8185 SQ</v>
      </c>
      <c r="B68" s="6" t="str">
        <f aca="false">IF($A68="","",INDEX(PlanningItemsList,7))</f>
        <v>Kampas Kopling Set</v>
      </c>
      <c r="C68" s="7"/>
      <c r="D68" s="7"/>
    </row>
    <row r="69" customFormat="false" ht="15" hidden="false" customHeight="false" outlineLevel="0" collapsed="false">
      <c r="A69" s="6" t="str">
        <f aca="false">IF('DATA UNIT'!$B5="","",'DATA UNIT'!$B5)</f>
        <v>DD 8185 SQ</v>
      </c>
      <c r="B69" s="6" t="str">
        <f aca="false">IF($A69="","",INDEX(PlanningItemsList,8))</f>
        <v>Wiper Blade</v>
      </c>
      <c r="C69" s="7"/>
      <c r="D69" s="7"/>
    </row>
    <row r="70" customFormat="false" ht="15" hidden="false" customHeight="false" outlineLevel="0" collapsed="false">
      <c r="A70" s="6" t="str">
        <f aca="false">IF('DATA UNIT'!$B5="","",'DATA UNIT'!$B5)</f>
        <v>DD 8185 SQ</v>
      </c>
      <c r="B70" s="6" t="str">
        <f aca="false">IF($A70="","",INDEX(PlanningItemsList,9))</f>
        <v>Ban Depan</v>
      </c>
      <c r="C70" s="7"/>
      <c r="D70" s="7"/>
    </row>
    <row r="71" customFormat="false" ht="15" hidden="false" customHeight="false" outlineLevel="0" collapsed="false">
      <c r="A71" s="6" t="str">
        <f aca="false">IF('DATA UNIT'!$B5="","",'DATA UNIT'!$B5)</f>
        <v>DD 8185 SQ</v>
      </c>
      <c r="B71" s="6" t="str">
        <f aca="false">IF($A71="","",INDEX(PlanningItemsList,10))</f>
        <v>Ban Belakang</v>
      </c>
      <c r="C71" s="7"/>
      <c r="D71" s="7"/>
    </row>
    <row r="72" customFormat="false" ht="15" hidden="false" customHeight="false" outlineLevel="0" collapsed="false">
      <c r="A72" s="6" t="str">
        <f aca="false">IF('DATA UNIT'!$B5="","",'DATA UNIT'!$B5)</f>
        <v>DD 8185 SQ</v>
      </c>
      <c r="B72" s="6" t="str">
        <f aca="false">IF($A72="","",INDEX(PlanningItemsList,11))</f>
        <v>Ban Serep</v>
      </c>
      <c r="C72" s="7"/>
      <c r="D72" s="7"/>
    </row>
    <row r="73" customFormat="false" ht="15" hidden="false" customHeight="false" outlineLevel="0" collapsed="false">
      <c r="A73" s="6" t="str">
        <f aca="false">IF('DATA UNIT'!$B5="","",'DATA UNIT'!$B5)</f>
        <v>DD 8185 SQ</v>
      </c>
      <c r="B73" s="6" t="str">
        <f aca="false">IF($A73="","",INDEX(PlanningItemsList,12))</f>
        <v>Greasing</v>
      </c>
      <c r="C73" s="7"/>
      <c r="D73" s="7"/>
    </row>
    <row r="74" customFormat="false" ht="15" hidden="false" customHeight="false" outlineLevel="0" collapsed="false">
      <c r="A74" s="6" t="str">
        <f aca="false">IF('DATA UNIT'!$B5="","",'DATA UNIT'!$B5)</f>
        <v>DD 8185 SQ</v>
      </c>
      <c r="B74" s="6" t="str">
        <f aca="false">IF($A74="","",INDEX(PlanningItemsList,13))</f>
        <v>V-Belt</v>
      </c>
      <c r="C74" s="7"/>
      <c r="D74" s="7"/>
    </row>
    <row r="75" customFormat="false" ht="15" hidden="false" customHeight="false" outlineLevel="0" collapsed="false">
      <c r="A75" s="6" t="str">
        <f aca="false">IF('DATA UNIT'!$B5="","",'DATA UNIT'!$B5)</f>
        <v>DD 8185 SQ</v>
      </c>
      <c r="B75" s="6" t="str">
        <f aca="false">IF($A75="","",INDEX(PlanningItemsList,14))</f>
        <v>Sarung Jok</v>
      </c>
      <c r="C75" s="7"/>
      <c r="D75" s="7"/>
    </row>
    <row r="76" customFormat="false" ht="15" hidden="false" customHeight="false" outlineLevel="0" collapsed="false">
      <c r="A76" s="6" t="str">
        <f aca="false">IF('DATA UNIT'!$B5="","",'DATA UNIT'!$B5)</f>
        <v>DD 8185 SQ</v>
      </c>
      <c r="B76" s="6" t="str">
        <f aca="false">IF($A76="","",INDEX(PlanningItemsList,15))</f>
        <v>Karpet Karet</v>
      </c>
      <c r="C76" s="7"/>
      <c r="D76" s="7"/>
    </row>
    <row r="77" customFormat="false" ht="15" hidden="false" customHeight="false" outlineLevel="0" collapsed="false">
      <c r="A77" s="6" t="str">
        <f aca="false">IF('DATA UNIT'!$B5="","",'DATA UNIT'!$B5)</f>
        <v>DD 8185 SQ</v>
      </c>
      <c r="B77" s="6" t="str">
        <f aca="false">IF($A77="","",INDEX(PlanningItemsList,16))</f>
        <v>Karpet Dasar</v>
      </c>
      <c r="C77" s="7"/>
      <c r="D77" s="7"/>
    </row>
    <row r="78" customFormat="false" ht="15" hidden="false" customHeight="false" outlineLevel="0" collapsed="false">
      <c r="A78" s="6" t="str">
        <f aca="false">IF('DATA UNIT'!$B5="","",'DATA UNIT'!$B5)</f>
        <v>DD 8185 SQ</v>
      </c>
      <c r="B78" s="6" t="str">
        <f aca="false">IF($A78="","",INDEX(PlanningItemsList,17))</f>
        <v>Flushing Radiator</v>
      </c>
      <c r="C78" s="7"/>
      <c r="D78" s="7"/>
    </row>
    <row r="79" customFormat="false" ht="15" hidden="false" customHeight="false" outlineLevel="0" collapsed="false">
      <c r="A79" s="6" t="str">
        <f aca="false">IF('DATA UNIT'!$B5="","",'DATA UNIT'!$B5)</f>
        <v>DD 8185 SQ</v>
      </c>
      <c r="B79" s="6" t="str">
        <f aca="false">IF($A79="","",INDEX(PlanningItemsList,18))</f>
        <v>Flushing Steering</v>
      </c>
      <c r="C79" s="7"/>
      <c r="D79" s="7"/>
    </row>
    <row r="80" customFormat="false" ht="15" hidden="false" customHeight="false" outlineLevel="0" collapsed="false">
      <c r="A80" s="6" t="str">
        <f aca="false">IF('DATA UNIT'!$B5="","",'DATA UNIT'!$B5)</f>
        <v>DD 8185 SQ</v>
      </c>
      <c r="B80" s="6" t="str">
        <f aca="false">IF($A80="","",INDEX(PlanningItemsList,19))</f>
        <v>Flushing Injector</v>
      </c>
      <c r="C80" s="7"/>
      <c r="D80" s="7"/>
    </row>
    <row r="81" customFormat="false" ht="15" hidden="false" customHeight="false" outlineLevel="0" collapsed="false">
      <c r="A81" s="6" t="str">
        <f aca="false">IF('DATA UNIT'!$B5="","",'DATA UNIT'!$B5)</f>
        <v>DD 8185 SQ</v>
      </c>
      <c r="B81" s="6" t="str">
        <f aca="false">IF($A81="","",INDEX(PlanningItemsList,20))</f>
        <v>Flushing Rem</v>
      </c>
      <c r="C81" s="7"/>
      <c r="D81" s="7"/>
    </row>
    <row r="82" customFormat="false" ht="15" hidden="false" customHeight="false" outlineLevel="0" collapsed="false">
      <c r="A82" s="6" t="str">
        <f aca="false">IF('DATA UNIT'!$B6="","",'DATA UNIT'!$B6)</f>
        <v>KT 8755 ZE</v>
      </c>
      <c r="B82" s="6" t="str">
        <f aca="false">IF($A82="","",INDEX(PlanningItemsList,1))</f>
        <v>PM Check / Reguler Services</v>
      </c>
      <c r="C82" s="7"/>
      <c r="D82" s="7"/>
    </row>
    <row r="83" customFormat="false" ht="15" hidden="false" customHeight="false" outlineLevel="0" collapsed="false">
      <c r="A83" s="6" t="str">
        <f aca="false">IF('DATA UNIT'!$B6="","",'DATA UNIT'!$B6)</f>
        <v>KT 8755 ZE</v>
      </c>
      <c r="B83" s="6" t="str">
        <f aca="false">IF($A83="","",INDEX(PlanningItemsList,2))</f>
        <v>Service A</v>
      </c>
      <c r="C83" s="7"/>
      <c r="D83" s="7"/>
    </row>
    <row r="84" customFormat="false" ht="15" hidden="false" customHeight="false" outlineLevel="0" collapsed="false">
      <c r="A84" s="6" t="str">
        <f aca="false">IF('DATA UNIT'!$B6="","",'DATA UNIT'!$B6)</f>
        <v>KT 8755 ZE</v>
      </c>
      <c r="B84" s="6" t="str">
        <f aca="false">IF($A84="","",INDEX(PlanningItemsList,3))</f>
        <v>Service B</v>
      </c>
      <c r="C84" s="7"/>
      <c r="D84" s="7"/>
    </row>
    <row r="85" customFormat="false" ht="15" hidden="false" customHeight="false" outlineLevel="0" collapsed="false">
      <c r="A85" s="6" t="str">
        <f aca="false">IF('DATA UNIT'!$B6="","",'DATA UNIT'!$B6)</f>
        <v>KT 8755 ZE</v>
      </c>
      <c r="B85" s="6" t="str">
        <f aca="false">IF($A85="","",INDEX(PlanningItemsList,4))</f>
        <v>Brake Pad</v>
      </c>
      <c r="C85" s="7"/>
      <c r="D85" s="7"/>
    </row>
    <row r="86" customFormat="false" ht="15" hidden="false" customHeight="false" outlineLevel="0" collapsed="false">
      <c r="A86" s="6" t="str">
        <f aca="false">IF('DATA UNIT'!$B6="","",'DATA UNIT'!$B6)</f>
        <v>KT 8755 ZE</v>
      </c>
      <c r="B86" s="6" t="str">
        <f aca="false">IF($A86="","",INDEX(PlanningItemsList,5))</f>
        <v>Brake Shoe</v>
      </c>
      <c r="C86" s="7"/>
      <c r="D86" s="7"/>
    </row>
    <row r="87" customFormat="false" ht="15" hidden="false" customHeight="false" outlineLevel="0" collapsed="false">
      <c r="A87" s="6" t="str">
        <f aca="false">IF('DATA UNIT'!$B6="","",'DATA UNIT'!$B6)</f>
        <v>KT 8755 ZE</v>
      </c>
      <c r="B87" s="6" t="str">
        <f aca="false">IF($A87="","",INDEX(PlanningItemsList,6))</f>
        <v>Accu</v>
      </c>
      <c r="C87" s="7"/>
      <c r="D87" s="7"/>
    </row>
    <row r="88" customFormat="false" ht="15" hidden="false" customHeight="false" outlineLevel="0" collapsed="false">
      <c r="A88" s="6" t="str">
        <f aca="false">IF('DATA UNIT'!$B6="","",'DATA UNIT'!$B6)</f>
        <v>KT 8755 ZE</v>
      </c>
      <c r="B88" s="6" t="str">
        <f aca="false">IF($A88="","",INDEX(PlanningItemsList,7))</f>
        <v>Kampas Kopling Set</v>
      </c>
      <c r="C88" s="7"/>
      <c r="D88" s="7"/>
    </row>
    <row r="89" customFormat="false" ht="15" hidden="false" customHeight="false" outlineLevel="0" collapsed="false">
      <c r="A89" s="6" t="str">
        <f aca="false">IF('DATA UNIT'!$B6="","",'DATA UNIT'!$B6)</f>
        <v>KT 8755 ZE</v>
      </c>
      <c r="B89" s="6" t="str">
        <f aca="false">IF($A89="","",INDEX(PlanningItemsList,8))</f>
        <v>Wiper Blade</v>
      </c>
      <c r="C89" s="7"/>
      <c r="D89" s="7"/>
    </row>
    <row r="90" customFormat="false" ht="15" hidden="false" customHeight="false" outlineLevel="0" collapsed="false">
      <c r="A90" s="6" t="str">
        <f aca="false">IF('DATA UNIT'!$B6="","",'DATA UNIT'!$B6)</f>
        <v>KT 8755 ZE</v>
      </c>
      <c r="B90" s="6" t="str">
        <f aca="false">IF($A90="","",INDEX(PlanningItemsList,9))</f>
        <v>Ban Depan</v>
      </c>
      <c r="C90" s="7"/>
      <c r="D90" s="7"/>
    </row>
    <row r="91" customFormat="false" ht="15" hidden="false" customHeight="false" outlineLevel="0" collapsed="false">
      <c r="A91" s="6" t="str">
        <f aca="false">IF('DATA UNIT'!$B6="","",'DATA UNIT'!$B6)</f>
        <v>KT 8755 ZE</v>
      </c>
      <c r="B91" s="6" t="str">
        <f aca="false">IF($A91="","",INDEX(PlanningItemsList,10))</f>
        <v>Ban Belakang</v>
      </c>
      <c r="C91" s="7"/>
      <c r="D91" s="7"/>
    </row>
    <row r="92" customFormat="false" ht="15" hidden="false" customHeight="false" outlineLevel="0" collapsed="false">
      <c r="A92" s="6" t="str">
        <f aca="false">IF('DATA UNIT'!$B6="","",'DATA UNIT'!$B6)</f>
        <v>KT 8755 ZE</v>
      </c>
      <c r="B92" s="6" t="str">
        <f aca="false">IF($A92="","",INDEX(PlanningItemsList,11))</f>
        <v>Ban Serep</v>
      </c>
      <c r="C92" s="7"/>
      <c r="D92" s="7"/>
    </row>
    <row r="93" customFormat="false" ht="15" hidden="false" customHeight="false" outlineLevel="0" collapsed="false">
      <c r="A93" s="6" t="str">
        <f aca="false">IF('DATA UNIT'!$B6="","",'DATA UNIT'!$B6)</f>
        <v>KT 8755 ZE</v>
      </c>
      <c r="B93" s="6" t="str">
        <f aca="false">IF($A93="","",INDEX(PlanningItemsList,12))</f>
        <v>Greasing</v>
      </c>
      <c r="C93" s="7"/>
      <c r="D93" s="7"/>
    </row>
    <row r="94" customFormat="false" ht="15" hidden="false" customHeight="false" outlineLevel="0" collapsed="false">
      <c r="A94" s="6" t="str">
        <f aca="false">IF('DATA UNIT'!$B6="","",'DATA UNIT'!$B6)</f>
        <v>KT 8755 ZE</v>
      </c>
      <c r="B94" s="6" t="str">
        <f aca="false">IF($A94="","",INDEX(PlanningItemsList,13))</f>
        <v>V-Belt</v>
      </c>
      <c r="C94" s="7"/>
      <c r="D94" s="7"/>
    </row>
    <row r="95" customFormat="false" ht="15" hidden="false" customHeight="false" outlineLevel="0" collapsed="false">
      <c r="A95" s="6" t="str">
        <f aca="false">IF('DATA UNIT'!$B6="","",'DATA UNIT'!$B6)</f>
        <v>KT 8755 ZE</v>
      </c>
      <c r="B95" s="6" t="str">
        <f aca="false">IF($A95="","",INDEX(PlanningItemsList,14))</f>
        <v>Sarung Jok</v>
      </c>
      <c r="C95" s="7"/>
      <c r="D95" s="7"/>
    </row>
    <row r="96" customFormat="false" ht="15" hidden="false" customHeight="false" outlineLevel="0" collapsed="false">
      <c r="A96" s="6" t="str">
        <f aca="false">IF('DATA UNIT'!$B6="","",'DATA UNIT'!$B6)</f>
        <v>KT 8755 ZE</v>
      </c>
      <c r="B96" s="6" t="str">
        <f aca="false">IF($A96="","",INDEX(PlanningItemsList,15))</f>
        <v>Karpet Karet</v>
      </c>
      <c r="C96" s="7"/>
      <c r="D96" s="7"/>
    </row>
    <row r="97" customFormat="false" ht="15" hidden="false" customHeight="false" outlineLevel="0" collapsed="false">
      <c r="A97" s="6" t="str">
        <f aca="false">IF('DATA UNIT'!$B6="","",'DATA UNIT'!$B6)</f>
        <v>KT 8755 ZE</v>
      </c>
      <c r="B97" s="6" t="str">
        <f aca="false">IF($A97="","",INDEX(PlanningItemsList,16))</f>
        <v>Karpet Dasar</v>
      </c>
      <c r="C97" s="7"/>
      <c r="D97" s="7"/>
    </row>
    <row r="98" customFormat="false" ht="15" hidden="false" customHeight="false" outlineLevel="0" collapsed="false">
      <c r="A98" s="6" t="str">
        <f aca="false">IF('DATA UNIT'!$B6="","",'DATA UNIT'!$B6)</f>
        <v>KT 8755 ZE</v>
      </c>
      <c r="B98" s="6" t="str">
        <f aca="false">IF($A98="","",INDEX(PlanningItemsList,17))</f>
        <v>Flushing Radiator</v>
      </c>
      <c r="C98" s="7"/>
      <c r="D98" s="7"/>
    </row>
    <row r="99" customFormat="false" ht="15" hidden="false" customHeight="false" outlineLevel="0" collapsed="false">
      <c r="A99" s="6" t="str">
        <f aca="false">IF('DATA UNIT'!$B6="","",'DATA UNIT'!$B6)</f>
        <v>KT 8755 ZE</v>
      </c>
      <c r="B99" s="6" t="str">
        <f aca="false">IF($A99="","",INDEX(PlanningItemsList,18))</f>
        <v>Flushing Steering</v>
      </c>
      <c r="C99" s="7"/>
      <c r="D99" s="7"/>
    </row>
    <row r="100" customFormat="false" ht="15" hidden="false" customHeight="false" outlineLevel="0" collapsed="false">
      <c r="A100" s="6" t="str">
        <f aca="false">IF('DATA UNIT'!$B6="","",'DATA UNIT'!$B6)</f>
        <v>KT 8755 ZE</v>
      </c>
      <c r="B100" s="6" t="str">
        <f aca="false">IF($A100="","",INDEX(PlanningItemsList,19))</f>
        <v>Flushing Injector</v>
      </c>
      <c r="C100" s="7"/>
      <c r="D100" s="7"/>
    </row>
    <row r="101" customFormat="false" ht="15" hidden="false" customHeight="false" outlineLevel="0" collapsed="false">
      <c r="A101" s="6" t="str">
        <f aca="false">IF('DATA UNIT'!$B6="","",'DATA UNIT'!$B6)</f>
        <v>KT 8755 ZE</v>
      </c>
      <c r="B101" s="6" t="str">
        <f aca="false">IF($A101="","",INDEX(PlanningItemsList,20))</f>
        <v>Flushing Rem</v>
      </c>
      <c r="C101" s="7"/>
      <c r="D101" s="7"/>
    </row>
    <row r="102" customFormat="false" ht="15" hidden="false" customHeight="false" outlineLevel="0" collapsed="false">
      <c r="A102" s="6" t="str">
        <f aca="false">IF('DATA UNIT'!$B7="","",'DATA UNIT'!$B7)</f>
        <v>DD 8518 UE</v>
      </c>
      <c r="B102" s="6" t="str">
        <f aca="false">IF($A102="","",INDEX(PlanningItemsList,1))</f>
        <v>PM Check / Reguler Services</v>
      </c>
      <c r="C102" s="7"/>
      <c r="D102" s="7"/>
    </row>
    <row r="103" customFormat="false" ht="15" hidden="false" customHeight="false" outlineLevel="0" collapsed="false">
      <c r="A103" s="6" t="str">
        <f aca="false">IF('DATA UNIT'!$B7="","",'DATA UNIT'!$B7)</f>
        <v>DD 8518 UE</v>
      </c>
      <c r="B103" s="6" t="str">
        <f aca="false">IF($A103="","",INDEX(PlanningItemsList,2))</f>
        <v>Service A</v>
      </c>
      <c r="C103" s="7"/>
      <c r="D103" s="7"/>
    </row>
    <row r="104" customFormat="false" ht="15" hidden="false" customHeight="false" outlineLevel="0" collapsed="false">
      <c r="A104" s="6" t="str">
        <f aca="false">IF('DATA UNIT'!$B7="","",'DATA UNIT'!$B7)</f>
        <v>DD 8518 UE</v>
      </c>
      <c r="B104" s="6" t="str">
        <f aca="false">IF($A104="","",INDEX(PlanningItemsList,3))</f>
        <v>Service B</v>
      </c>
      <c r="C104" s="7"/>
      <c r="D104" s="7"/>
    </row>
    <row r="105" customFormat="false" ht="15" hidden="false" customHeight="false" outlineLevel="0" collapsed="false">
      <c r="A105" s="6" t="str">
        <f aca="false">IF('DATA UNIT'!$B7="","",'DATA UNIT'!$B7)</f>
        <v>DD 8518 UE</v>
      </c>
      <c r="B105" s="6" t="str">
        <f aca="false">IF($A105="","",INDEX(PlanningItemsList,4))</f>
        <v>Brake Pad</v>
      </c>
      <c r="C105" s="7"/>
      <c r="D105" s="7"/>
    </row>
    <row r="106" customFormat="false" ht="15" hidden="false" customHeight="false" outlineLevel="0" collapsed="false">
      <c r="A106" s="6" t="str">
        <f aca="false">IF('DATA UNIT'!$B7="","",'DATA UNIT'!$B7)</f>
        <v>DD 8518 UE</v>
      </c>
      <c r="B106" s="6" t="str">
        <f aca="false">IF($A106="","",INDEX(PlanningItemsList,5))</f>
        <v>Brake Shoe</v>
      </c>
      <c r="C106" s="7"/>
      <c r="D106" s="7"/>
    </row>
    <row r="107" customFormat="false" ht="15" hidden="false" customHeight="false" outlineLevel="0" collapsed="false">
      <c r="A107" s="6" t="str">
        <f aca="false">IF('DATA UNIT'!$B7="","",'DATA UNIT'!$B7)</f>
        <v>DD 8518 UE</v>
      </c>
      <c r="B107" s="6" t="str">
        <f aca="false">IF($A107="","",INDEX(PlanningItemsList,6))</f>
        <v>Accu</v>
      </c>
      <c r="C107" s="7"/>
      <c r="D107" s="7"/>
    </row>
    <row r="108" customFormat="false" ht="15" hidden="false" customHeight="false" outlineLevel="0" collapsed="false">
      <c r="A108" s="6" t="str">
        <f aca="false">IF('DATA UNIT'!$B7="","",'DATA UNIT'!$B7)</f>
        <v>DD 8518 UE</v>
      </c>
      <c r="B108" s="6" t="str">
        <f aca="false">IF($A108="","",INDEX(PlanningItemsList,7))</f>
        <v>Kampas Kopling Set</v>
      </c>
      <c r="C108" s="7"/>
      <c r="D108" s="7"/>
    </row>
    <row r="109" customFormat="false" ht="15" hidden="false" customHeight="false" outlineLevel="0" collapsed="false">
      <c r="A109" s="6" t="str">
        <f aca="false">IF('DATA UNIT'!$B7="","",'DATA UNIT'!$B7)</f>
        <v>DD 8518 UE</v>
      </c>
      <c r="B109" s="6" t="str">
        <f aca="false">IF($A109="","",INDEX(PlanningItemsList,8))</f>
        <v>Wiper Blade</v>
      </c>
      <c r="C109" s="7"/>
      <c r="D109" s="7"/>
    </row>
    <row r="110" customFormat="false" ht="15" hidden="false" customHeight="false" outlineLevel="0" collapsed="false">
      <c r="A110" s="6" t="str">
        <f aca="false">IF('DATA UNIT'!$B7="","",'DATA UNIT'!$B7)</f>
        <v>DD 8518 UE</v>
      </c>
      <c r="B110" s="6" t="str">
        <f aca="false">IF($A110="","",INDEX(PlanningItemsList,9))</f>
        <v>Ban Depan</v>
      </c>
      <c r="C110" s="7"/>
      <c r="D110" s="7"/>
    </row>
    <row r="111" customFormat="false" ht="15" hidden="false" customHeight="false" outlineLevel="0" collapsed="false">
      <c r="A111" s="6" t="str">
        <f aca="false">IF('DATA UNIT'!$B7="","",'DATA UNIT'!$B7)</f>
        <v>DD 8518 UE</v>
      </c>
      <c r="B111" s="6" t="str">
        <f aca="false">IF($A111="","",INDEX(PlanningItemsList,10))</f>
        <v>Ban Belakang</v>
      </c>
      <c r="C111" s="7"/>
      <c r="D111" s="7"/>
    </row>
    <row r="112" customFormat="false" ht="15" hidden="false" customHeight="false" outlineLevel="0" collapsed="false">
      <c r="A112" s="6" t="str">
        <f aca="false">IF('DATA UNIT'!$B7="","",'DATA UNIT'!$B7)</f>
        <v>DD 8518 UE</v>
      </c>
      <c r="B112" s="6" t="str">
        <f aca="false">IF($A112="","",INDEX(PlanningItemsList,11))</f>
        <v>Ban Serep</v>
      </c>
      <c r="C112" s="7"/>
      <c r="D112" s="7"/>
    </row>
    <row r="113" customFormat="false" ht="15" hidden="false" customHeight="false" outlineLevel="0" collapsed="false">
      <c r="A113" s="6" t="str">
        <f aca="false">IF('DATA UNIT'!$B7="","",'DATA UNIT'!$B7)</f>
        <v>DD 8518 UE</v>
      </c>
      <c r="B113" s="6" t="str">
        <f aca="false">IF($A113="","",INDEX(PlanningItemsList,12))</f>
        <v>Greasing</v>
      </c>
      <c r="C113" s="7"/>
      <c r="D113" s="7"/>
    </row>
    <row r="114" customFormat="false" ht="15" hidden="false" customHeight="false" outlineLevel="0" collapsed="false">
      <c r="A114" s="6" t="str">
        <f aca="false">IF('DATA UNIT'!$B7="","",'DATA UNIT'!$B7)</f>
        <v>DD 8518 UE</v>
      </c>
      <c r="B114" s="6" t="str">
        <f aca="false">IF($A114="","",INDEX(PlanningItemsList,13))</f>
        <v>V-Belt</v>
      </c>
      <c r="C114" s="7"/>
      <c r="D114" s="7"/>
    </row>
    <row r="115" customFormat="false" ht="15" hidden="false" customHeight="false" outlineLevel="0" collapsed="false">
      <c r="A115" s="6" t="str">
        <f aca="false">IF('DATA UNIT'!$B7="","",'DATA UNIT'!$B7)</f>
        <v>DD 8518 UE</v>
      </c>
      <c r="B115" s="6" t="str">
        <f aca="false">IF($A115="","",INDEX(PlanningItemsList,14))</f>
        <v>Sarung Jok</v>
      </c>
      <c r="C115" s="7"/>
      <c r="D115" s="7"/>
    </row>
    <row r="116" customFormat="false" ht="15" hidden="false" customHeight="false" outlineLevel="0" collapsed="false">
      <c r="A116" s="6" t="str">
        <f aca="false">IF('DATA UNIT'!$B7="","",'DATA UNIT'!$B7)</f>
        <v>DD 8518 UE</v>
      </c>
      <c r="B116" s="6" t="str">
        <f aca="false">IF($A116="","",INDEX(PlanningItemsList,15))</f>
        <v>Karpet Karet</v>
      </c>
      <c r="C116" s="7"/>
      <c r="D116" s="7"/>
    </row>
    <row r="117" customFormat="false" ht="15" hidden="false" customHeight="false" outlineLevel="0" collapsed="false">
      <c r="A117" s="6" t="str">
        <f aca="false">IF('DATA UNIT'!$B7="","",'DATA UNIT'!$B7)</f>
        <v>DD 8518 UE</v>
      </c>
      <c r="B117" s="6" t="str">
        <f aca="false">IF($A117="","",INDEX(PlanningItemsList,16))</f>
        <v>Karpet Dasar</v>
      </c>
      <c r="C117" s="7"/>
      <c r="D117" s="7"/>
    </row>
    <row r="118" customFormat="false" ht="15" hidden="false" customHeight="false" outlineLevel="0" collapsed="false">
      <c r="A118" s="6" t="str">
        <f aca="false">IF('DATA UNIT'!$B7="","",'DATA UNIT'!$B7)</f>
        <v>DD 8518 UE</v>
      </c>
      <c r="B118" s="6" t="str">
        <f aca="false">IF($A118="","",INDEX(PlanningItemsList,17))</f>
        <v>Flushing Radiator</v>
      </c>
      <c r="C118" s="7"/>
      <c r="D118" s="7"/>
    </row>
    <row r="119" customFormat="false" ht="15" hidden="false" customHeight="false" outlineLevel="0" collapsed="false">
      <c r="A119" s="6" t="str">
        <f aca="false">IF('DATA UNIT'!$B7="","",'DATA UNIT'!$B7)</f>
        <v>DD 8518 UE</v>
      </c>
      <c r="B119" s="6" t="str">
        <f aca="false">IF($A119="","",INDEX(PlanningItemsList,18))</f>
        <v>Flushing Steering</v>
      </c>
      <c r="C119" s="7"/>
      <c r="D119" s="7"/>
    </row>
    <row r="120" customFormat="false" ht="15" hidden="false" customHeight="false" outlineLevel="0" collapsed="false">
      <c r="A120" s="6" t="str">
        <f aca="false">IF('DATA UNIT'!$B7="","",'DATA UNIT'!$B7)</f>
        <v>DD 8518 UE</v>
      </c>
      <c r="B120" s="6" t="str">
        <f aca="false">IF($A120="","",INDEX(PlanningItemsList,19))</f>
        <v>Flushing Injector</v>
      </c>
      <c r="C120" s="7"/>
      <c r="D120" s="7"/>
    </row>
    <row r="121" customFormat="false" ht="15" hidden="false" customHeight="false" outlineLevel="0" collapsed="false">
      <c r="A121" s="6" t="str">
        <f aca="false">IF('DATA UNIT'!$B7="","",'DATA UNIT'!$B7)</f>
        <v>DD 8518 UE</v>
      </c>
      <c r="B121" s="6" t="str">
        <f aca="false">IF($A121="","",INDEX(PlanningItemsList,20))</f>
        <v>Flushing Rem</v>
      </c>
      <c r="C121" s="7"/>
      <c r="D121" s="7"/>
    </row>
    <row r="122" customFormat="false" ht="15" hidden="false" customHeight="false" outlineLevel="0" collapsed="false">
      <c r="A122" s="6" t="str">
        <f aca="false">IF('DATA UNIT'!$B8="","",'DATA UNIT'!$B8)</f>
        <v>DD 8573 UE</v>
      </c>
      <c r="B122" s="6" t="str">
        <f aca="false">IF($A122="","",INDEX(PlanningItemsList,1))</f>
        <v>PM Check / Reguler Services</v>
      </c>
      <c r="C122" s="7"/>
      <c r="D122" s="7"/>
    </row>
    <row r="123" customFormat="false" ht="15" hidden="false" customHeight="false" outlineLevel="0" collapsed="false">
      <c r="A123" s="6" t="str">
        <f aca="false">IF('DATA UNIT'!$B8="","",'DATA UNIT'!$B8)</f>
        <v>DD 8573 UE</v>
      </c>
      <c r="B123" s="6" t="str">
        <f aca="false">IF($A123="","",INDEX(PlanningItemsList,2))</f>
        <v>Service A</v>
      </c>
      <c r="C123" s="7"/>
      <c r="D123" s="7"/>
    </row>
    <row r="124" customFormat="false" ht="15" hidden="false" customHeight="false" outlineLevel="0" collapsed="false">
      <c r="A124" s="6" t="str">
        <f aca="false">IF('DATA UNIT'!$B8="","",'DATA UNIT'!$B8)</f>
        <v>DD 8573 UE</v>
      </c>
      <c r="B124" s="6" t="str">
        <f aca="false">IF($A124="","",INDEX(PlanningItemsList,3))</f>
        <v>Service B</v>
      </c>
      <c r="C124" s="7"/>
      <c r="D124" s="7"/>
    </row>
    <row r="125" customFormat="false" ht="15" hidden="false" customHeight="false" outlineLevel="0" collapsed="false">
      <c r="A125" s="6" t="str">
        <f aca="false">IF('DATA UNIT'!$B8="","",'DATA UNIT'!$B8)</f>
        <v>DD 8573 UE</v>
      </c>
      <c r="B125" s="6" t="str">
        <f aca="false">IF($A125="","",INDEX(PlanningItemsList,4))</f>
        <v>Brake Pad</v>
      </c>
      <c r="C125" s="7"/>
      <c r="D125" s="7"/>
    </row>
    <row r="126" customFormat="false" ht="15" hidden="false" customHeight="false" outlineLevel="0" collapsed="false">
      <c r="A126" s="6" t="str">
        <f aca="false">IF('DATA UNIT'!$B8="","",'DATA UNIT'!$B8)</f>
        <v>DD 8573 UE</v>
      </c>
      <c r="B126" s="6" t="str">
        <f aca="false">IF($A126="","",INDEX(PlanningItemsList,5))</f>
        <v>Brake Shoe</v>
      </c>
      <c r="C126" s="7"/>
      <c r="D126" s="7"/>
    </row>
    <row r="127" customFormat="false" ht="15" hidden="false" customHeight="false" outlineLevel="0" collapsed="false">
      <c r="A127" s="6" t="str">
        <f aca="false">IF('DATA UNIT'!$B8="","",'DATA UNIT'!$B8)</f>
        <v>DD 8573 UE</v>
      </c>
      <c r="B127" s="6" t="str">
        <f aca="false">IF($A127="","",INDEX(PlanningItemsList,6))</f>
        <v>Accu</v>
      </c>
      <c r="C127" s="7"/>
      <c r="D127" s="7"/>
    </row>
    <row r="128" customFormat="false" ht="15" hidden="false" customHeight="false" outlineLevel="0" collapsed="false">
      <c r="A128" s="6" t="str">
        <f aca="false">IF('DATA UNIT'!$B8="","",'DATA UNIT'!$B8)</f>
        <v>DD 8573 UE</v>
      </c>
      <c r="B128" s="6" t="str">
        <f aca="false">IF($A128="","",INDEX(PlanningItemsList,7))</f>
        <v>Kampas Kopling Set</v>
      </c>
      <c r="C128" s="7"/>
      <c r="D128" s="7"/>
    </row>
    <row r="129" customFormat="false" ht="15" hidden="false" customHeight="false" outlineLevel="0" collapsed="false">
      <c r="A129" s="6" t="str">
        <f aca="false">IF('DATA UNIT'!$B8="","",'DATA UNIT'!$B8)</f>
        <v>DD 8573 UE</v>
      </c>
      <c r="B129" s="6" t="str">
        <f aca="false">IF($A129="","",INDEX(PlanningItemsList,8))</f>
        <v>Wiper Blade</v>
      </c>
      <c r="C129" s="7"/>
      <c r="D129" s="7"/>
    </row>
    <row r="130" customFormat="false" ht="15" hidden="false" customHeight="false" outlineLevel="0" collapsed="false">
      <c r="A130" s="6" t="str">
        <f aca="false">IF('DATA UNIT'!$B8="","",'DATA UNIT'!$B8)</f>
        <v>DD 8573 UE</v>
      </c>
      <c r="B130" s="6" t="str">
        <f aca="false">IF($A130="","",INDEX(PlanningItemsList,9))</f>
        <v>Ban Depan</v>
      </c>
      <c r="C130" s="7"/>
      <c r="D130" s="7"/>
    </row>
    <row r="131" customFormat="false" ht="15" hidden="false" customHeight="false" outlineLevel="0" collapsed="false">
      <c r="A131" s="6" t="str">
        <f aca="false">IF('DATA UNIT'!$B8="","",'DATA UNIT'!$B8)</f>
        <v>DD 8573 UE</v>
      </c>
      <c r="B131" s="6" t="str">
        <f aca="false">IF($A131="","",INDEX(PlanningItemsList,10))</f>
        <v>Ban Belakang</v>
      </c>
      <c r="C131" s="7"/>
      <c r="D131" s="7"/>
    </row>
    <row r="132" customFormat="false" ht="15" hidden="false" customHeight="false" outlineLevel="0" collapsed="false">
      <c r="A132" s="6" t="str">
        <f aca="false">IF('DATA UNIT'!$B8="","",'DATA UNIT'!$B8)</f>
        <v>DD 8573 UE</v>
      </c>
      <c r="B132" s="6" t="str">
        <f aca="false">IF($A132="","",INDEX(PlanningItemsList,11))</f>
        <v>Ban Serep</v>
      </c>
      <c r="C132" s="7"/>
      <c r="D132" s="7"/>
    </row>
    <row r="133" customFormat="false" ht="15" hidden="false" customHeight="false" outlineLevel="0" collapsed="false">
      <c r="A133" s="6" t="str">
        <f aca="false">IF('DATA UNIT'!$B8="","",'DATA UNIT'!$B8)</f>
        <v>DD 8573 UE</v>
      </c>
      <c r="B133" s="6" t="str">
        <f aca="false">IF($A133="","",INDEX(PlanningItemsList,12))</f>
        <v>Greasing</v>
      </c>
      <c r="C133" s="7"/>
      <c r="D133" s="7"/>
    </row>
    <row r="134" customFormat="false" ht="15" hidden="false" customHeight="false" outlineLevel="0" collapsed="false">
      <c r="A134" s="6" t="str">
        <f aca="false">IF('DATA UNIT'!$B8="","",'DATA UNIT'!$B8)</f>
        <v>DD 8573 UE</v>
      </c>
      <c r="B134" s="6" t="str">
        <f aca="false">IF($A134="","",INDEX(PlanningItemsList,13))</f>
        <v>V-Belt</v>
      </c>
      <c r="C134" s="7"/>
      <c r="D134" s="7"/>
    </row>
    <row r="135" customFormat="false" ht="15" hidden="false" customHeight="false" outlineLevel="0" collapsed="false">
      <c r="A135" s="6" t="str">
        <f aca="false">IF('DATA UNIT'!$B8="","",'DATA UNIT'!$B8)</f>
        <v>DD 8573 UE</v>
      </c>
      <c r="B135" s="6" t="str">
        <f aca="false">IF($A135="","",INDEX(PlanningItemsList,14))</f>
        <v>Sarung Jok</v>
      </c>
      <c r="C135" s="7"/>
      <c r="D135" s="7"/>
    </row>
    <row r="136" customFormat="false" ht="15" hidden="false" customHeight="false" outlineLevel="0" collapsed="false">
      <c r="A136" s="6" t="str">
        <f aca="false">IF('DATA UNIT'!$B8="","",'DATA UNIT'!$B8)</f>
        <v>DD 8573 UE</v>
      </c>
      <c r="B136" s="6" t="str">
        <f aca="false">IF($A136="","",INDEX(PlanningItemsList,15))</f>
        <v>Karpet Karet</v>
      </c>
      <c r="C136" s="7"/>
      <c r="D136" s="7"/>
    </row>
    <row r="137" customFormat="false" ht="15" hidden="false" customHeight="false" outlineLevel="0" collapsed="false">
      <c r="A137" s="6" t="str">
        <f aca="false">IF('DATA UNIT'!$B8="","",'DATA UNIT'!$B8)</f>
        <v>DD 8573 UE</v>
      </c>
      <c r="B137" s="6" t="str">
        <f aca="false">IF($A137="","",INDEX(PlanningItemsList,16))</f>
        <v>Karpet Dasar</v>
      </c>
      <c r="C137" s="7"/>
      <c r="D137" s="7"/>
    </row>
    <row r="138" customFormat="false" ht="15" hidden="false" customHeight="false" outlineLevel="0" collapsed="false">
      <c r="A138" s="6" t="str">
        <f aca="false">IF('DATA UNIT'!$B8="","",'DATA UNIT'!$B8)</f>
        <v>DD 8573 UE</v>
      </c>
      <c r="B138" s="6" t="str">
        <f aca="false">IF($A138="","",INDEX(PlanningItemsList,17))</f>
        <v>Flushing Radiator</v>
      </c>
      <c r="C138" s="7"/>
      <c r="D138" s="7"/>
    </row>
    <row r="139" customFormat="false" ht="15" hidden="false" customHeight="false" outlineLevel="0" collapsed="false">
      <c r="A139" s="6" t="str">
        <f aca="false">IF('DATA UNIT'!$B8="","",'DATA UNIT'!$B8)</f>
        <v>DD 8573 UE</v>
      </c>
      <c r="B139" s="6" t="str">
        <f aca="false">IF($A139="","",INDEX(PlanningItemsList,18))</f>
        <v>Flushing Steering</v>
      </c>
      <c r="C139" s="7"/>
      <c r="D139" s="7"/>
    </row>
    <row r="140" customFormat="false" ht="15" hidden="false" customHeight="false" outlineLevel="0" collapsed="false">
      <c r="A140" s="6" t="str">
        <f aca="false">IF('DATA UNIT'!$B8="","",'DATA UNIT'!$B8)</f>
        <v>DD 8573 UE</v>
      </c>
      <c r="B140" s="6" t="str">
        <f aca="false">IF($A140="","",INDEX(PlanningItemsList,19))</f>
        <v>Flushing Injector</v>
      </c>
      <c r="C140" s="7"/>
      <c r="D140" s="7"/>
    </row>
    <row r="141" customFormat="false" ht="15" hidden="false" customHeight="false" outlineLevel="0" collapsed="false">
      <c r="A141" s="6" t="str">
        <f aca="false">IF('DATA UNIT'!$B8="","",'DATA UNIT'!$B8)</f>
        <v>DD 8573 UE</v>
      </c>
      <c r="B141" s="6" t="str">
        <f aca="false">IF($A141="","",INDEX(PlanningItemsList,20))</f>
        <v>Flushing Rem</v>
      </c>
      <c r="C141" s="7"/>
      <c r="D141" s="7"/>
    </row>
    <row r="142" customFormat="false" ht="15" hidden="false" customHeight="false" outlineLevel="0" collapsed="false">
      <c r="A142" s="6" t="str">
        <f aca="false">IF('DATA UNIT'!$B9="","",'DATA UNIT'!$B9)</f>
        <v>DD 8016 UF</v>
      </c>
      <c r="B142" s="6" t="str">
        <f aca="false">IF($A142="","",INDEX(PlanningItemsList,1))</f>
        <v>PM Check / Reguler Services</v>
      </c>
      <c r="C142" s="7"/>
      <c r="D142" s="7"/>
    </row>
    <row r="143" customFormat="false" ht="15" hidden="false" customHeight="false" outlineLevel="0" collapsed="false">
      <c r="A143" s="6" t="str">
        <f aca="false">IF('DATA UNIT'!$B9="","",'DATA UNIT'!$B9)</f>
        <v>DD 8016 UF</v>
      </c>
      <c r="B143" s="6" t="str">
        <f aca="false">IF($A143="","",INDEX(PlanningItemsList,2))</f>
        <v>Service A</v>
      </c>
      <c r="C143" s="7"/>
      <c r="D143" s="7"/>
    </row>
    <row r="144" customFormat="false" ht="15" hidden="false" customHeight="false" outlineLevel="0" collapsed="false">
      <c r="A144" s="6" t="str">
        <f aca="false">IF('DATA UNIT'!$B9="","",'DATA UNIT'!$B9)</f>
        <v>DD 8016 UF</v>
      </c>
      <c r="B144" s="6" t="str">
        <f aca="false">IF($A144="","",INDEX(PlanningItemsList,3))</f>
        <v>Service B</v>
      </c>
      <c r="C144" s="7"/>
      <c r="D144" s="7"/>
    </row>
    <row r="145" customFormat="false" ht="15" hidden="false" customHeight="false" outlineLevel="0" collapsed="false">
      <c r="A145" s="6" t="str">
        <f aca="false">IF('DATA UNIT'!$B9="","",'DATA UNIT'!$B9)</f>
        <v>DD 8016 UF</v>
      </c>
      <c r="B145" s="6" t="str">
        <f aca="false">IF($A145="","",INDEX(PlanningItemsList,4))</f>
        <v>Brake Pad</v>
      </c>
      <c r="C145" s="7"/>
      <c r="D145" s="7"/>
    </row>
    <row r="146" customFormat="false" ht="15" hidden="false" customHeight="false" outlineLevel="0" collapsed="false">
      <c r="A146" s="6" t="str">
        <f aca="false">IF('DATA UNIT'!$B9="","",'DATA UNIT'!$B9)</f>
        <v>DD 8016 UF</v>
      </c>
      <c r="B146" s="6" t="str">
        <f aca="false">IF($A146="","",INDEX(PlanningItemsList,5))</f>
        <v>Brake Shoe</v>
      </c>
      <c r="C146" s="7"/>
      <c r="D146" s="7"/>
    </row>
    <row r="147" customFormat="false" ht="15" hidden="false" customHeight="false" outlineLevel="0" collapsed="false">
      <c r="A147" s="6" t="str">
        <f aca="false">IF('DATA UNIT'!$B9="","",'DATA UNIT'!$B9)</f>
        <v>DD 8016 UF</v>
      </c>
      <c r="B147" s="6" t="str">
        <f aca="false">IF($A147="","",INDEX(PlanningItemsList,6))</f>
        <v>Accu</v>
      </c>
      <c r="C147" s="7"/>
      <c r="D147" s="7"/>
    </row>
    <row r="148" customFormat="false" ht="15" hidden="false" customHeight="false" outlineLevel="0" collapsed="false">
      <c r="A148" s="6" t="str">
        <f aca="false">IF('DATA UNIT'!$B9="","",'DATA UNIT'!$B9)</f>
        <v>DD 8016 UF</v>
      </c>
      <c r="B148" s="6" t="str">
        <f aca="false">IF($A148="","",INDEX(PlanningItemsList,7))</f>
        <v>Kampas Kopling Set</v>
      </c>
      <c r="C148" s="7"/>
      <c r="D148" s="7"/>
    </row>
    <row r="149" customFormat="false" ht="15" hidden="false" customHeight="false" outlineLevel="0" collapsed="false">
      <c r="A149" s="6" t="str">
        <f aca="false">IF('DATA UNIT'!$B9="","",'DATA UNIT'!$B9)</f>
        <v>DD 8016 UF</v>
      </c>
      <c r="B149" s="6" t="str">
        <f aca="false">IF($A149="","",INDEX(PlanningItemsList,8))</f>
        <v>Wiper Blade</v>
      </c>
      <c r="C149" s="7"/>
      <c r="D149" s="7"/>
    </row>
    <row r="150" customFormat="false" ht="15" hidden="false" customHeight="false" outlineLevel="0" collapsed="false">
      <c r="A150" s="6" t="str">
        <f aca="false">IF('DATA UNIT'!$B9="","",'DATA UNIT'!$B9)</f>
        <v>DD 8016 UF</v>
      </c>
      <c r="B150" s="6" t="str">
        <f aca="false">IF($A150="","",INDEX(PlanningItemsList,9))</f>
        <v>Ban Depan</v>
      </c>
      <c r="C150" s="7"/>
      <c r="D150" s="7"/>
    </row>
    <row r="151" customFormat="false" ht="15" hidden="false" customHeight="false" outlineLevel="0" collapsed="false">
      <c r="A151" s="6" t="str">
        <f aca="false">IF('DATA UNIT'!$B9="","",'DATA UNIT'!$B9)</f>
        <v>DD 8016 UF</v>
      </c>
      <c r="B151" s="6" t="str">
        <f aca="false">IF($A151="","",INDEX(PlanningItemsList,10))</f>
        <v>Ban Belakang</v>
      </c>
      <c r="C151" s="7"/>
      <c r="D151" s="7"/>
    </row>
    <row r="152" customFormat="false" ht="15" hidden="false" customHeight="false" outlineLevel="0" collapsed="false">
      <c r="A152" s="6" t="str">
        <f aca="false">IF('DATA UNIT'!$B9="","",'DATA UNIT'!$B9)</f>
        <v>DD 8016 UF</v>
      </c>
      <c r="B152" s="6" t="str">
        <f aca="false">IF($A152="","",INDEX(PlanningItemsList,11))</f>
        <v>Ban Serep</v>
      </c>
      <c r="C152" s="7"/>
      <c r="D152" s="7"/>
    </row>
    <row r="153" customFormat="false" ht="15" hidden="false" customHeight="false" outlineLevel="0" collapsed="false">
      <c r="A153" s="6" t="str">
        <f aca="false">IF('DATA UNIT'!$B9="","",'DATA UNIT'!$B9)</f>
        <v>DD 8016 UF</v>
      </c>
      <c r="B153" s="6" t="str">
        <f aca="false">IF($A153="","",INDEX(PlanningItemsList,12))</f>
        <v>Greasing</v>
      </c>
      <c r="C153" s="7"/>
      <c r="D153" s="7"/>
    </row>
    <row r="154" customFormat="false" ht="15" hidden="false" customHeight="false" outlineLevel="0" collapsed="false">
      <c r="A154" s="6" t="str">
        <f aca="false">IF('DATA UNIT'!$B9="","",'DATA UNIT'!$B9)</f>
        <v>DD 8016 UF</v>
      </c>
      <c r="B154" s="6" t="str">
        <f aca="false">IF($A154="","",INDEX(PlanningItemsList,13))</f>
        <v>V-Belt</v>
      </c>
      <c r="C154" s="7"/>
      <c r="D154" s="7"/>
    </row>
    <row r="155" customFormat="false" ht="15" hidden="false" customHeight="false" outlineLevel="0" collapsed="false">
      <c r="A155" s="6" t="str">
        <f aca="false">IF('DATA UNIT'!$B9="","",'DATA UNIT'!$B9)</f>
        <v>DD 8016 UF</v>
      </c>
      <c r="B155" s="6" t="str">
        <f aca="false">IF($A155="","",INDEX(PlanningItemsList,14))</f>
        <v>Sarung Jok</v>
      </c>
      <c r="C155" s="7"/>
      <c r="D155" s="7"/>
    </row>
    <row r="156" customFormat="false" ht="15" hidden="false" customHeight="false" outlineLevel="0" collapsed="false">
      <c r="A156" s="6" t="str">
        <f aca="false">IF('DATA UNIT'!$B9="","",'DATA UNIT'!$B9)</f>
        <v>DD 8016 UF</v>
      </c>
      <c r="B156" s="6" t="str">
        <f aca="false">IF($A156="","",INDEX(PlanningItemsList,15))</f>
        <v>Karpet Karet</v>
      </c>
      <c r="C156" s="7"/>
      <c r="D156" s="7"/>
    </row>
    <row r="157" customFormat="false" ht="15" hidden="false" customHeight="false" outlineLevel="0" collapsed="false">
      <c r="A157" s="6" t="str">
        <f aca="false">IF('DATA UNIT'!$B9="","",'DATA UNIT'!$B9)</f>
        <v>DD 8016 UF</v>
      </c>
      <c r="B157" s="6" t="str">
        <f aca="false">IF($A157="","",INDEX(PlanningItemsList,16))</f>
        <v>Karpet Dasar</v>
      </c>
      <c r="C157" s="7"/>
      <c r="D157" s="7"/>
    </row>
    <row r="158" customFormat="false" ht="15" hidden="false" customHeight="false" outlineLevel="0" collapsed="false">
      <c r="A158" s="6" t="str">
        <f aca="false">IF('DATA UNIT'!$B9="","",'DATA UNIT'!$B9)</f>
        <v>DD 8016 UF</v>
      </c>
      <c r="B158" s="6" t="str">
        <f aca="false">IF($A158="","",INDEX(PlanningItemsList,17))</f>
        <v>Flushing Radiator</v>
      </c>
      <c r="C158" s="7"/>
      <c r="D158" s="7"/>
    </row>
    <row r="159" customFormat="false" ht="15" hidden="false" customHeight="false" outlineLevel="0" collapsed="false">
      <c r="A159" s="6" t="str">
        <f aca="false">IF('DATA UNIT'!$B9="","",'DATA UNIT'!$B9)</f>
        <v>DD 8016 UF</v>
      </c>
      <c r="B159" s="6" t="str">
        <f aca="false">IF($A159="","",INDEX(PlanningItemsList,18))</f>
        <v>Flushing Steering</v>
      </c>
      <c r="C159" s="7"/>
      <c r="D159" s="7"/>
    </row>
    <row r="160" customFormat="false" ht="15" hidden="false" customHeight="false" outlineLevel="0" collapsed="false">
      <c r="A160" s="6" t="str">
        <f aca="false">IF('DATA UNIT'!$B9="","",'DATA UNIT'!$B9)</f>
        <v>DD 8016 UF</v>
      </c>
      <c r="B160" s="6" t="str">
        <f aca="false">IF($A160="","",INDEX(PlanningItemsList,19))</f>
        <v>Flushing Injector</v>
      </c>
      <c r="C160" s="7"/>
      <c r="D160" s="7"/>
    </row>
    <row r="161" customFormat="false" ht="15" hidden="false" customHeight="false" outlineLevel="0" collapsed="false">
      <c r="A161" s="6" t="str">
        <f aca="false">IF('DATA UNIT'!$B9="","",'DATA UNIT'!$B9)</f>
        <v>DD 8016 UF</v>
      </c>
      <c r="B161" s="6" t="str">
        <f aca="false">IF($A161="","",INDEX(PlanningItemsList,20))</f>
        <v>Flushing Rem</v>
      </c>
      <c r="C161" s="7"/>
      <c r="D161" s="7"/>
    </row>
    <row r="162" customFormat="false" ht="15" hidden="false" customHeight="false" outlineLevel="0" collapsed="false">
      <c r="A162" s="6" t="str">
        <f aca="false">IF('DATA UNIT'!$B10="","",'DATA UNIT'!$B10)</f>
        <v>DD 8017 UF</v>
      </c>
      <c r="B162" s="6" t="str">
        <f aca="false">IF($A162="","",INDEX(PlanningItemsList,1))</f>
        <v>PM Check / Reguler Services</v>
      </c>
      <c r="C162" s="7"/>
      <c r="D162" s="7"/>
    </row>
    <row r="163" customFormat="false" ht="15" hidden="false" customHeight="false" outlineLevel="0" collapsed="false">
      <c r="A163" s="6" t="str">
        <f aca="false">IF('DATA UNIT'!$B10="","",'DATA UNIT'!$B10)</f>
        <v>DD 8017 UF</v>
      </c>
      <c r="B163" s="6" t="str">
        <f aca="false">IF($A163="","",INDEX(PlanningItemsList,2))</f>
        <v>Service A</v>
      </c>
      <c r="C163" s="7"/>
      <c r="D163" s="7"/>
    </row>
    <row r="164" customFormat="false" ht="15" hidden="false" customHeight="false" outlineLevel="0" collapsed="false">
      <c r="A164" s="6" t="str">
        <f aca="false">IF('DATA UNIT'!$B10="","",'DATA UNIT'!$B10)</f>
        <v>DD 8017 UF</v>
      </c>
      <c r="B164" s="6" t="str">
        <f aca="false">IF($A164="","",INDEX(PlanningItemsList,3))</f>
        <v>Service B</v>
      </c>
      <c r="C164" s="7"/>
      <c r="D164" s="7"/>
    </row>
    <row r="165" customFormat="false" ht="15" hidden="false" customHeight="false" outlineLevel="0" collapsed="false">
      <c r="A165" s="6" t="str">
        <f aca="false">IF('DATA UNIT'!$B10="","",'DATA UNIT'!$B10)</f>
        <v>DD 8017 UF</v>
      </c>
      <c r="B165" s="6" t="str">
        <f aca="false">IF($A165="","",INDEX(PlanningItemsList,4))</f>
        <v>Brake Pad</v>
      </c>
      <c r="C165" s="7"/>
      <c r="D165" s="7"/>
    </row>
    <row r="166" customFormat="false" ht="15" hidden="false" customHeight="false" outlineLevel="0" collapsed="false">
      <c r="A166" s="6" t="str">
        <f aca="false">IF('DATA UNIT'!$B10="","",'DATA UNIT'!$B10)</f>
        <v>DD 8017 UF</v>
      </c>
      <c r="B166" s="6" t="str">
        <f aca="false">IF($A166="","",INDEX(PlanningItemsList,5))</f>
        <v>Brake Shoe</v>
      </c>
      <c r="C166" s="7"/>
      <c r="D166" s="7"/>
    </row>
    <row r="167" customFormat="false" ht="15" hidden="false" customHeight="false" outlineLevel="0" collapsed="false">
      <c r="A167" s="6" t="str">
        <f aca="false">IF('DATA UNIT'!$B10="","",'DATA UNIT'!$B10)</f>
        <v>DD 8017 UF</v>
      </c>
      <c r="B167" s="6" t="str">
        <f aca="false">IF($A167="","",INDEX(PlanningItemsList,6))</f>
        <v>Accu</v>
      </c>
      <c r="C167" s="7"/>
      <c r="D167" s="7"/>
    </row>
    <row r="168" customFormat="false" ht="15" hidden="false" customHeight="false" outlineLevel="0" collapsed="false">
      <c r="A168" s="6" t="str">
        <f aca="false">IF('DATA UNIT'!$B10="","",'DATA UNIT'!$B10)</f>
        <v>DD 8017 UF</v>
      </c>
      <c r="B168" s="6" t="str">
        <f aca="false">IF($A168="","",INDEX(PlanningItemsList,7))</f>
        <v>Kampas Kopling Set</v>
      </c>
      <c r="C168" s="7"/>
      <c r="D168" s="7"/>
    </row>
    <row r="169" customFormat="false" ht="15" hidden="false" customHeight="false" outlineLevel="0" collapsed="false">
      <c r="A169" s="6" t="str">
        <f aca="false">IF('DATA UNIT'!$B10="","",'DATA UNIT'!$B10)</f>
        <v>DD 8017 UF</v>
      </c>
      <c r="B169" s="6" t="str">
        <f aca="false">IF($A169="","",INDEX(PlanningItemsList,8))</f>
        <v>Wiper Blade</v>
      </c>
      <c r="C169" s="7"/>
      <c r="D169" s="7"/>
    </row>
    <row r="170" customFormat="false" ht="15" hidden="false" customHeight="false" outlineLevel="0" collapsed="false">
      <c r="A170" s="6" t="str">
        <f aca="false">IF('DATA UNIT'!$B10="","",'DATA UNIT'!$B10)</f>
        <v>DD 8017 UF</v>
      </c>
      <c r="B170" s="6" t="str">
        <f aca="false">IF($A170="","",INDEX(PlanningItemsList,9))</f>
        <v>Ban Depan</v>
      </c>
      <c r="C170" s="7"/>
      <c r="D170" s="7"/>
    </row>
    <row r="171" customFormat="false" ht="15" hidden="false" customHeight="false" outlineLevel="0" collapsed="false">
      <c r="A171" s="6" t="str">
        <f aca="false">IF('DATA UNIT'!$B10="","",'DATA UNIT'!$B10)</f>
        <v>DD 8017 UF</v>
      </c>
      <c r="B171" s="6" t="str">
        <f aca="false">IF($A171="","",INDEX(PlanningItemsList,10))</f>
        <v>Ban Belakang</v>
      </c>
      <c r="C171" s="7"/>
      <c r="D171" s="7"/>
    </row>
    <row r="172" customFormat="false" ht="15" hidden="false" customHeight="false" outlineLevel="0" collapsed="false">
      <c r="A172" s="6" t="str">
        <f aca="false">IF('DATA UNIT'!$B10="","",'DATA UNIT'!$B10)</f>
        <v>DD 8017 UF</v>
      </c>
      <c r="B172" s="6" t="str">
        <f aca="false">IF($A172="","",INDEX(PlanningItemsList,11))</f>
        <v>Ban Serep</v>
      </c>
      <c r="C172" s="7"/>
      <c r="D172" s="7"/>
    </row>
    <row r="173" customFormat="false" ht="15" hidden="false" customHeight="false" outlineLevel="0" collapsed="false">
      <c r="A173" s="6" t="str">
        <f aca="false">IF('DATA UNIT'!$B10="","",'DATA UNIT'!$B10)</f>
        <v>DD 8017 UF</v>
      </c>
      <c r="B173" s="6" t="str">
        <f aca="false">IF($A173="","",INDEX(PlanningItemsList,12))</f>
        <v>Greasing</v>
      </c>
      <c r="C173" s="7"/>
      <c r="D173" s="7"/>
    </row>
    <row r="174" customFormat="false" ht="15" hidden="false" customHeight="false" outlineLevel="0" collapsed="false">
      <c r="A174" s="6" t="str">
        <f aca="false">IF('DATA UNIT'!$B10="","",'DATA UNIT'!$B10)</f>
        <v>DD 8017 UF</v>
      </c>
      <c r="B174" s="6" t="str">
        <f aca="false">IF($A174="","",INDEX(PlanningItemsList,13))</f>
        <v>V-Belt</v>
      </c>
      <c r="C174" s="7"/>
      <c r="D174" s="7"/>
    </row>
    <row r="175" customFormat="false" ht="15" hidden="false" customHeight="false" outlineLevel="0" collapsed="false">
      <c r="A175" s="6" t="str">
        <f aca="false">IF('DATA UNIT'!$B10="","",'DATA UNIT'!$B10)</f>
        <v>DD 8017 UF</v>
      </c>
      <c r="B175" s="6" t="str">
        <f aca="false">IF($A175="","",INDEX(PlanningItemsList,14))</f>
        <v>Sarung Jok</v>
      </c>
      <c r="C175" s="7"/>
      <c r="D175" s="7"/>
    </row>
    <row r="176" customFormat="false" ht="15" hidden="false" customHeight="false" outlineLevel="0" collapsed="false">
      <c r="A176" s="6" t="str">
        <f aca="false">IF('DATA UNIT'!$B10="","",'DATA UNIT'!$B10)</f>
        <v>DD 8017 UF</v>
      </c>
      <c r="B176" s="6" t="str">
        <f aca="false">IF($A176="","",INDEX(PlanningItemsList,15))</f>
        <v>Karpet Karet</v>
      </c>
      <c r="C176" s="7"/>
      <c r="D176" s="7"/>
    </row>
    <row r="177" customFormat="false" ht="15" hidden="false" customHeight="false" outlineLevel="0" collapsed="false">
      <c r="A177" s="6" t="str">
        <f aca="false">IF('DATA UNIT'!$B10="","",'DATA UNIT'!$B10)</f>
        <v>DD 8017 UF</v>
      </c>
      <c r="B177" s="6" t="str">
        <f aca="false">IF($A177="","",INDEX(PlanningItemsList,16))</f>
        <v>Karpet Dasar</v>
      </c>
      <c r="C177" s="7"/>
      <c r="D177" s="7"/>
    </row>
    <row r="178" customFormat="false" ht="15" hidden="false" customHeight="false" outlineLevel="0" collapsed="false">
      <c r="A178" s="6" t="str">
        <f aca="false">IF('DATA UNIT'!$B10="","",'DATA UNIT'!$B10)</f>
        <v>DD 8017 UF</v>
      </c>
      <c r="B178" s="6" t="str">
        <f aca="false">IF($A178="","",INDEX(PlanningItemsList,17))</f>
        <v>Flushing Radiator</v>
      </c>
      <c r="C178" s="7"/>
      <c r="D178" s="7"/>
    </row>
    <row r="179" customFormat="false" ht="15" hidden="false" customHeight="false" outlineLevel="0" collapsed="false">
      <c r="A179" s="6" t="str">
        <f aca="false">IF('DATA UNIT'!$B10="","",'DATA UNIT'!$B10)</f>
        <v>DD 8017 UF</v>
      </c>
      <c r="B179" s="6" t="str">
        <f aca="false">IF($A179="","",INDEX(PlanningItemsList,18))</f>
        <v>Flushing Steering</v>
      </c>
      <c r="C179" s="7"/>
      <c r="D179" s="7"/>
    </row>
    <row r="180" customFormat="false" ht="15" hidden="false" customHeight="false" outlineLevel="0" collapsed="false">
      <c r="A180" s="6" t="str">
        <f aca="false">IF('DATA UNIT'!$B10="","",'DATA UNIT'!$B10)</f>
        <v>DD 8017 UF</v>
      </c>
      <c r="B180" s="6" t="str">
        <f aca="false">IF($A180="","",INDEX(PlanningItemsList,19))</f>
        <v>Flushing Injector</v>
      </c>
      <c r="C180" s="7"/>
      <c r="D180" s="7"/>
    </row>
    <row r="181" customFormat="false" ht="15" hidden="false" customHeight="false" outlineLevel="0" collapsed="false">
      <c r="A181" s="6" t="str">
        <f aca="false">IF('DATA UNIT'!$B10="","",'DATA UNIT'!$B10)</f>
        <v>DD 8017 UF</v>
      </c>
      <c r="B181" s="6" t="str">
        <f aca="false">IF($A181="","",INDEX(PlanningItemsList,20))</f>
        <v>Flushing Rem</v>
      </c>
      <c r="C181" s="7"/>
      <c r="D181" s="7"/>
    </row>
    <row r="182" customFormat="false" ht="15" hidden="false" customHeight="false" outlineLevel="0" collapsed="false">
      <c r="A182" s="6" t="str">
        <f aca="false">IF('DATA UNIT'!$B11="","",'DATA UNIT'!$B11)</f>
        <v>DD 8592 VG</v>
      </c>
      <c r="B182" s="6" t="str">
        <f aca="false">IF($A182="","",INDEX(PlanningItemsList,1))</f>
        <v>PM Check / Reguler Services</v>
      </c>
      <c r="C182" s="7"/>
      <c r="D182" s="7"/>
    </row>
    <row r="183" customFormat="false" ht="15" hidden="false" customHeight="false" outlineLevel="0" collapsed="false">
      <c r="A183" s="6" t="str">
        <f aca="false">IF('DATA UNIT'!$B11="","",'DATA UNIT'!$B11)</f>
        <v>DD 8592 VG</v>
      </c>
      <c r="B183" s="6" t="str">
        <f aca="false">IF($A183="","",INDEX(PlanningItemsList,2))</f>
        <v>Service A</v>
      </c>
      <c r="C183" s="7"/>
      <c r="D183" s="7"/>
    </row>
    <row r="184" customFormat="false" ht="15" hidden="false" customHeight="false" outlineLevel="0" collapsed="false">
      <c r="A184" s="6" t="str">
        <f aca="false">IF('DATA UNIT'!$B11="","",'DATA UNIT'!$B11)</f>
        <v>DD 8592 VG</v>
      </c>
      <c r="B184" s="6" t="str">
        <f aca="false">IF($A184="","",INDEX(PlanningItemsList,3))</f>
        <v>Service B</v>
      </c>
      <c r="C184" s="7"/>
      <c r="D184" s="7"/>
    </row>
    <row r="185" customFormat="false" ht="15" hidden="false" customHeight="false" outlineLevel="0" collapsed="false">
      <c r="A185" s="6" t="str">
        <f aca="false">IF('DATA UNIT'!$B11="","",'DATA UNIT'!$B11)</f>
        <v>DD 8592 VG</v>
      </c>
      <c r="B185" s="6" t="str">
        <f aca="false">IF($A185="","",INDEX(PlanningItemsList,4))</f>
        <v>Brake Pad</v>
      </c>
      <c r="C185" s="7"/>
      <c r="D185" s="7"/>
    </row>
    <row r="186" customFormat="false" ht="15" hidden="false" customHeight="false" outlineLevel="0" collapsed="false">
      <c r="A186" s="6" t="str">
        <f aca="false">IF('DATA UNIT'!$B11="","",'DATA UNIT'!$B11)</f>
        <v>DD 8592 VG</v>
      </c>
      <c r="B186" s="6" t="str">
        <f aca="false">IF($A186="","",INDEX(PlanningItemsList,5))</f>
        <v>Brake Shoe</v>
      </c>
      <c r="C186" s="7"/>
      <c r="D186" s="7"/>
    </row>
    <row r="187" customFormat="false" ht="15" hidden="false" customHeight="false" outlineLevel="0" collapsed="false">
      <c r="A187" s="6" t="str">
        <f aca="false">IF('DATA UNIT'!$B11="","",'DATA UNIT'!$B11)</f>
        <v>DD 8592 VG</v>
      </c>
      <c r="B187" s="6" t="str">
        <f aca="false">IF($A187="","",INDEX(PlanningItemsList,6))</f>
        <v>Accu</v>
      </c>
      <c r="C187" s="7"/>
      <c r="D187" s="7"/>
    </row>
    <row r="188" customFormat="false" ht="15" hidden="false" customHeight="false" outlineLevel="0" collapsed="false">
      <c r="A188" s="6" t="str">
        <f aca="false">IF('DATA UNIT'!$B11="","",'DATA UNIT'!$B11)</f>
        <v>DD 8592 VG</v>
      </c>
      <c r="B188" s="6" t="str">
        <f aca="false">IF($A188="","",INDEX(PlanningItemsList,7))</f>
        <v>Kampas Kopling Set</v>
      </c>
      <c r="C188" s="7"/>
      <c r="D188" s="7"/>
    </row>
    <row r="189" customFormat="false" ht="15" hidden="false" customHeight="false" outlineLevel="0" collapsed="false">
      <c r="A189" s="6" t="str">
        <f aca="false">IF('DATA UNIT'!$B11="","",'DATA UNIT'!$B11)</f>
        <v>DD 8592 VG</v>
      </c>
      <c r="B189" s="6" t="str">
        <f aca="false">IF($A189="","",INDEX(PlanningItemsList,8))</f>
        <v>Wiper Blade</v>
      </c>
      <c r="C189" s="7"/>
      <c r="D189" s="7"/>
    </row>
    <row r="190" customFormat="false" ht="15" hidden="false" customHeight="false" outlineLevel="0" collapsed="false">
      <c r="A190" s="6" t="str">
        <f aca="false">IF('DATA UNIT'!$B11="","",'DATA UNIT'!$B11)</f>
        <v>DD 8592 VG</v>
      </c>
      <c r="B190" s="6" t="str">
        <f aca="false">IF($A190="","",INDEX(PlanningItemsList,9))</f>
        <v>Ban Depan</v>
      </c>
      <c r="C190" s="7"/>
      <c r="D190" s="7"/>
    </row>
    <row r="191" customFormat="false" ht="15" hidden="false" customHeight="false" outlineLevel="0" collapsed="false">
      <c r="A191" s="6" t="str">
        <f aca="false">IF('DATA UNIT'!$B11="","",'DATA UNIT'!$B11)</f>
        <v>DD 8592 VG</v>
      </c>
      <c r="B191" s="6" t="str">
        <f aca="false">IF($A191="","",INDEX(PlanningItemsList,10))</f>
        <v>Ban Belakang</v>
      </c>
      <c r="C191" s="7"/>
      <c r="D191" s="7"/>
    </row>
    <row r="192" customFormat="false" ht="15" hidden="false" customHeight="false" outlineLevel="0" collapsed="false">
      <c r="A192" s="6" t="str">
        <f aca="false">IF('DATA UNIT'!$B11="","",'DATA UNIT'!$B11)</f>
        <v>DD 8592 VG</v>
      </c>
      <c r="B192" s="6" t="str">
        <f aca="false">IF($A192="","",INDEX(PlanningItemsList,11))</f>
        <v>Ban Serep</v>
      </c>
      <c r="C192" s="7"/>
      <c r="D192" s="7"/>
    </row>
    <row r="193" customFormat="false" ht="15" hidden="false" customHeight="false" outlineLevel="0" collapsed="false">
      <c r="A193" s="6" t="str">
        <f aca="false">IF('DATA UNIT'!$B11="","",'DATA UNIT'!$B11)</f>
        <v>DD 8592 VG</v>
      </c>
      <c r="B193" s="6" t="str">
        <f aca="false">IF($A193="","",INDEX(PlanningItemsList,12))</f>
        <v>Greasing</v>
      </c>
      <c r="C193" s="7"/>
      <c r="D193" s="7"/>
    </row>
    <row r="194" customFormat="false" ht="15" hidden="false" customHeight="false" outlineLevel="0" collapsed="false">
      <c r="A194" s="6" t="str">
        <f aca="false">IF('DATA UNIT'!$B11="","",'DATA UNIT'!$B11)</f>
        <v>DD 8592 VG</v>
      </c>
      <c r="B194" s="6" t="str">
        <f aca="false">IF($A194="","",INDEX(PlanningItemsList,13))</f>
        <v>V-Belt</v>
      </c>
      <c r="C194" s="7"/>
      <c r="D194" s="7"/>
    </row>
    <row r="195" customFormat="false" ht="15" hidden="false" customHeight="false" outlineLevel="0" collapsed="false">
      <c r="A195" s="6" t="str">
        <f aca="false">IF('DATA UNIT'!$B11="","",'DATA UNIT'!$B11)</f>
        <v>DD 8592 VG</v>
      </c>
      <c r="B195" s="6" t="str">
        <f aca="false">IF($A195="","",INDEX(PlanningItemsList,14))</f>
        <v>Sarung Jok</v>
      </c>
      <c r="C195" s="7"/>
      <c r="D195" s="7"/>
    </row>
    <row r="196" customFormat="false" ht="15" hidden="false" customHeight="false" outlineLevel="0" collapsed="false">
      <c r="A196" s="6" t="str">
        <f aca="false">IF('DATA UNIT'!$B11="","",'DATA UNIT'!$B11)</f>
        <v>DD 8592 VG</v>
      </c>
      <c r="B196" s="6" t="str">
        <f aca="false">IF($A196="","",INDEX(PlanningItemsList,15))</f>
        <v>Karpet Karet</v>
      </c>
      <c r="C196" s="7"/>
      <c r="D196" s="7"/>
    </row>
    <row r="197" customFormat="false" ht="15" hidden="false" customHeight="false" outlineLevel="0" collapsed="false">
      <c r="A197" s="6" t="str">
        <f aca="false">IF('DATA UNIT'!$B11="","",'DATA UNIT'!$B11)</f>
        <v>DD 8592 VG</v>
      </c>
      <c r="B197" s="6" t="str">
        <f aca="false">IF($A197="","",INDEX(PlanningItemsList,16))</f>
        <v>Karpet Dasar</v>
      </c>
      <c r="C197" s="7"/>
      <c r="D197" s="7"/>
    </row>
    <row r="198" customFormat="false" ht="15" hidden="false" customHeight="false" outlineLevel="0" collapsed="false">
      <c r="A198" s="6" t="str">
        <f aca="false">IF('DATA UNIT'!$B11="","",'DATA UNIT'!$B11)</f>
        <v>DD 8592 VG</v>
      </c>
      <c r="B198" s="6" t="str">
        <f aca="false">IF($A198="","",INDEX(PlanningItemsList,17))</f>
        <v>Flushing Radiator</v>
      </c>
      <c r="C198" s="7"/>
      <c r="D198" s="7"/>
    </row>
    <row r="199" customFormat="false" ht="15" hidden="false" customHeight="false" outlineLevel="0" collapsed="false">
      <c r="A199" s="6" t="str">
        <f aca="false">IF('DATA UNIT'!$B11="","",'DATA UNIT'!$B11)</f>
        <v>DD 8592 VG</v>
      </c>
      <c r="B199" s="6" t="str">
        <f aca="false">IF($A199="","",INDEX(PlanningItemsList,18))</f>
        <v>Flushing Steering</v>
      </c>
      <c r="C199" s="7"/>
      <c r="D199" s="7"/>
    </row>
    <row r="200" customFormat="false" ht="15" hidden="false" customHeight="false" outlineLevel="0" collapsed="false">
      <c r="A200" s="6" t="str">
        <f aca="false">IF('DATA UNIT'!$B11="","",'DATA UNIT'!$B11)</f>
        <v>DD 8592 VG</v>
      </c>
      <c r="B200" s="6" t="str">
        <f aca="false">IF($A200="","",INDEX(PlanningItemsList,19))</f>
        <v>Flushing Injector</v>
      </c>
      <c r="C200" s="7"/>
      <c r="D200" s="7"/>
    </row>
    <row r="201" customFormat="false" ht="15" hidden="false" customHeight="false" outlineLevel="0" collapsed="false">
      <c r="A201" s="6" t="str">
        <f aca="false">IF('DATA UNIT'!$B11="","",'DATA UNIT'!$B11)</f>
        <v>DD 8592 VG</v>
      </c>
      <c r="B201" s="6" t="str">
        <f aca="false">IF($A201="","",INDEX(PlanningItemsList,20))</f>
        <v>Flushing Rem</v>
      </c>
      <c r="C201" s="7"/>
      <c r="D201" s="7"/>
    </row>
    <row r="202" customFormat="false" ht="15" hidden="false" customHeight="false" outlineLevel="0" collapsed="false">
      <c r="A202" s="6" t="str">
        <f aca="false">IF('DATA UNIT'!$B12="","",'DATA UNIT'!$B12)</f>
        <v>KT 8341 ZO</v>
      </c>
      <c r="B202" s="6" t="str">
        <f aca="false">IF($A202="","",INDEX(PlanningItemsList,1))</f>
        <v>PM Check / Reguler Services</v>
      </c>
      <c r="C202" s="7"/>
      <c r="D202" s="7"/>
    </row>
    <row r="203" customFormat="false" ht="15" hidden="false" customHeight="false" outlineLevel="0" collapsed="false">
      <c r="A203" s="6" t="str">
        <f aca="false">IF('DATA UNIT'!$B12="","",'DATA UNIT'!$B12)</f>
        <v>KT 8341 ZO</v>
      </c>
      <c r="B203" s="6" t="str">
        <f aca="false">IF($A203="","",INDEX(PlanningItemsList,2))</f>
        <v>Service A</v>
      </c>
      <c r="C203" s="7"/>
      <c r="D203" s="7"/>
    </row>
    <row r="204" customFormat="false" ht="15" hidden="false" customHeight="false" outlineLevel="0" collapsed="false">
      <c r="A204" s="6" t="str">
        <f aca="false">IF('DATA UNIT'!$B12="","",'DATA UNIT'!$B12)</f>
        <v>KT 8341 ZO</v>
      </c>
      <c r="B204" s="6" t="str">
        <f aca="false">IF($A204="","",INDEX(PlanningItemsList,3))</f>
        <v>Service B</v>
      </c>
      <c r="C204" s="7"/>
      <c r="D204" s="7"/>
    </row>
    <row r="205" customFormat="false" ht="15" hidden="false" customHeight="false" outlineLevel="0" collapsed="false">
      <c r="A205" s="6" t="str">
        <f aca="false">IF('DATA UNIT'!$B12="","",'DATA UNIT'!$B12)</f>
        <v>KT 8341 ZO</v>
      </c>
      <c r="B205" s="6" t="str">
        <f aca="false">IF($A205="","",INDEX(PlanningItemsList,4))</f>
        <v>Brake Pad</v>
      </c>
      <c r="C205" s="7"/>
      <c r="D205" s="7"/>
    </row>
    <row r="206" customFormat="false" ht="15" hidden="false" customHeight="false" outlineLevel="0" collapsed="false">
      <c r="A206" s="6" t="str">
        <f aca="false">IF('DATA UNIT'!$B12="","",'DATA UNIT'!$B12)</f>
        <v>KT 8341 ZO</v>
      </c>
      <c r="B206" s="6" t="str">
        <f aca="false">IF($A206="","",INDEX(PlanningItemsList,5))</f>
        <v>Brake Shoe</v>
      </c>
      <c r="C206" s="7"/>
      <c r="D206" s="7"/>
    </row>
    <row r="207" customFormat="false" ht="15" hidden="false" customHeight="false" outlineLevel="0" collapsed="false">
      <c r="A207" s="6" t="str">
        <f aca="false">IF('DATA UNIT'!$B12="","",'DATA UNIT'!$B12)</f>
        <v>KT 8341 ZO</v>
      </c>
      <c r="B207" s="6" t="str">
        <f aca="false">IF($A207="","",INDEX(PlanningItemsList,6))</f>
        <v>Accu</v>
      </c>
      <c r="C207" s="7"/>
      <c r="D207" s="7"/>
    </row>
    <row r="208" customFormat="false" ht="15" hidden="false" customHeight="false" outlineLevel="0" collapsed="false">
      <c r="A208" s="6" t="str">
        <f aca="false">IF('DATA UNIT'!$B12="","",'DATA UNIT'!$B12)</f>
        <v>KT 8341 ZO</v>
      </c>
      <c r="B208" s="6" t="str">
        <f aca="false">IF($A208="","",INDEX(PlanningItemsList,7))</f>
        <v>Kampas Kopling Set</v>
      </c>
      <c r="C208" s="7"/>
      <c r="D208" s="7"/>
    </row>
    <row r="209" customFormat="false" ht="15" hidden="false" customHeight="false" outlineLevel="0" collapsed="false">
      <c r="A209" s="6" t="str">
        <f aca="false">IF('DATA UNIT'!$B12="","",'DATA UNIT'!$B12)</f>
        <v>KT 8341 ZO</v>
      </c>
      <c r="B209" s="6" t="str">
        <f aca="false">IF($A209="","",INDEX(PlanningItemsList,8))</f>
        <v>Wiper Blade</v>
      </c>
      <c r="C209" s="7"/>
      <c r="D209" s="7"/>
    </row>
    <row r="210" customFormat="false" ht="15" hidden="false" customHeight="false" outlineLevel="0" collapsed="false">
      <c r="A210" s="6" t="str">
        <f aca="false">IF('DATA UNIT'!$B12="","",'DATA UNIT'!$B12)</f>
        <v>KT 8341 ZO</v>
      </c>
      <c r="B210" s="6" t="str">
        <f aca="false">IF($A210="","",INDEX(PlanningItemsList,9))</f>
        <v>Ban Depan</v>
      </c>
      <c r="C210" s="7"/>
      <c r="D210" s="7"/>
    </row>
    <row r="211" customFormat="false" ht="15" hidden="false" customHeight="false" outlineLevel="0" collapsed="false">
      <c r="A211" s="6" t="str">
        <f aca="false">IF('DATA UNIT'!$B12="","",'DATA UNIT'!$B12)</f>
        <v>KT 8341 ZO</v>
      </c>
      <c r="B211" s="6" t="str">
        <f aca="false">IF($A211="","",INDEX(PlanningItemsList,10))</f>
        <v>Ban Belakang</v>
      </c>
      <c r="C211" s="7"/>
      <c r="D211" s="7"/>
    </row>
    <row r="212" customFormat="false" ht="15" hidden="false" customHeight="false" outlineLevel="0" collapsed="false">
      <c r="A212" s="6" t="str">
        <f aca="false">IF('DATA UNIT'!$B12="","",'DATA UNIT'!$B12)</f>
        <v>KT 8341 ZO</v>
      </c>
      <c r="B212" s="6" t="str">
        <f aca="false">IF($A212="","",INDEX(PlanningItemsList,11))</f>
        <v>Ban Serep</v>
      </c>
      <c r="C212" s="7"/>
      <c r="D212" s="7"/>
    </row>
    <row r="213" customFormat="false" ht="15" hidden="false" customHeight="false" outlineLevel="0" collapsed="false">
      <c r="A213" s="6" t="str">
        <f aca="false">IF('DATA UNIT'!$B12="","",'DATA UNIT'!$B12)</f>
        <v>KT 8341 ZO</v>
      </c>
      <c r="B213" s="6" t="str">
        <f aca="false">IF($A213="","",INDEX(PlanningItemsList,12))</f>
        <v>Greasing</v>
      </c>
      <c r="C213" s="7"/>
      <c r="D213" s="7"/>
    </row>
    <row r="214" customFormat="false" ht="15" hidden="false" customHeight="false" outlineLevel="0" collapsed="false">
      <c r="A214" s="6" t="str">
        <f aca="false">IF('DATA UNIT'!$B12="","",'DATA UNIT'!$B12)</f>
        <v>KT 8341 ZO</v>
      </c>
      <c r="B214" s="6" t="str">
        <f aca="false">IF($A214="","",INDEX(PlanningItemsList,13))</f>
        <v>V-Belt</v>
      </c>
      <c r="C214" s="7"/>
      <c r="D214" s="7"/>
    </row>
    <row r="215" customFormat="false" ht="15" hidden="false" customHeight="false" outlineLevel="0" collapsed="false">
      <c r="A215" s="6" t="str">
        <f aca="false">IF('DATA UNIT'!$B12="","",'DATA UNIT'!$B12)</f>
        <v>KT 8341 ZO</v>
      </c>
      <c r="B215" s="6" t="str">
        <f aca="false">IF($A215="","",INDEX(PlanningItemsList,14))</f>
        <v>Sarung Jok</v>
      </c>
      <c r="C215" s="7"/>
      <c r="D215" s="7"/>
    </row>
    <row r="216" customFormat="false" ht="15" hidden="false" customHeight="false" outlineLevel="0" collapsed="false">
      <c r="A216" s="6" t="str">
        <f aca="false">IF('DATA UNIT'!$B12="","",'DATA UNIT'!$B12)</f>
        <v>KT 8341 ZO</v>
      </c>
      <c r="B216" s="6" t="str">
        <f aca="false">IF($A216="","",INDEX(PlanningItemsList,15))</f>
        <v>Karpet Karet</v>
      </c>
      <c r="C216" s="7"/>
      <c r="D216" s="7"/>
    </row>
    <row r="217" customFormat="false" ht="15" hidden="false" customHeight="false" outlineLevel="0" collapsed="false">
      <c r="A217" s="6" t="str">
        <f aca="false">IF('DATA UNIT'!$B12="","",'DATA UNIT'!$B12)</f>
        <v>KT 8341 ZO</v>
      </c>
      <c r="B217" s="6" t="str">
        <f aca="false">IF($A217="","",INDEX(PlanningItemsList,16))</f>
        <v>Karpet Dasar</v>
      </c>
      <c r="C217" s="7"/>
      <c r="D217" s="7"/>
    </row>
    <row r="218" customFormat="false" ht="15" hidden="false" customHeight="false" outlineLevel="0" collapsed="false">
      <c r="A218" s="6" t="str">
        <f aca="false">IF('DATA UNIT'!$B12="","",'DATA UNIT'!$B12)</f>
        <v>KT 8341 ZO</v>
      </c>
      <c r="B218" s="6" t="str">
        <f aca="false">IF($A218="","",INDEX(PlanningItemsList,17))</f>
        <v>Flushing Radiator</v>
      </c>
      <c r="C218" s="7"/>
      <c r="D218" s="7"/>
    </row>
    <row r="219" customFormat="false" ht="15" hidden="false" customHeight="false" outlineLevel="0" collapsed="false">
      <c r="A219" s="6" t="str">
        <f aca="false">IF('DATA UNIT'!$B12="","",'DATA UNIT'!$B12)</f>
        <v>KT 8341 ZO</v>
      </c>
      <c r="B219" s="6" t="str">
        <f aca="false">IF($A219="","",INDEX(PlanningItemsList,18))</f>
        <v>Flushing Steering</v>
      </c>
      <c r="C219" s="7"/>
      <c r="D219" s="7"/>
    </row>
    <row r="220" customFormat="false" ht="15" hidden="false" customHeight="false" outlineLevel="0" collapsed="false">
      <c r="A220" s="6" t="str">
        <f aca="false">IF('DATA UNIT'!$B12="","",'DATA UNIT'!$B12)</f>
        <v>KT 8341 ZO</v>
      </c>
      <c r="B220" s="6" t="str">
        <f aca="false">IF($A220="","",INDEX(PlanningItemsList,19))</f>
        <v>Flushing Injector</v>
      </c>
      <c r="C220" s="7"/>
      <c r="D220" s="7"/>
    </row>
    <row r="221" customFormat="false" ht="15" hidden="false" customHeight="false" outlineLevel="0" collapsed="false">
      <c r="A221" s="6" t="str">
        <f aca="false">IF('DATA UNIT'!$B12="","",'DATA UNIT'!$B12)</f>
        <v>KT 8341 ZO</v>
      </c>
      <c r="B221" s="6" t="str">
        <f aca="false">IF($A221="","",INDEX(PlanningItemsList,20))</f>
        <v>Flushing Rem</v>
      </c>
      <c r="C221" s="7"/>
      <c r="D221" s="7"/>
    </row>
    <row r="222" customFormat="false" ht="15" hidden="false" customHeight="false" outlineLevel="0" collapsed="false">
      <c r="A222" s="6" t="str">
        <f aca="false">IF('DATA UNIT'!$B13="","",'DATA UNIT'!$B13)</f>
        <v>KT 8342 ZO</v>
      </c>
      <c r="B222" s="6" t="str">
        <f aca="false">IF($A222="","",INDEX(PlanningItemsList,1))</f>
        <v>PM Check / Reguler Services</v>
      </c>
      <c r="C222" s="7"/>
      <c r="D222" s="7"/>
    </row>
    <row r="223" customFormat="false" ht="15" hidden="false" customHeight="false" outlineLevel="0" collapsed="false">
      <c r="A223" s="6" t="str">
        <f aca="false">IF('DATA UNIT'!$B13="","",'DATA UNIT'!$B13)</f>
        <v>KT 8342 ZO</v>
      </c>
      <c r="B223" s="6" t="str">
        <f aca="false">IF($A223="","",INDEX(PlanningItemsList,2))</f>
        <v>Service A</v>
      </c>
      <c r="C223" s="7"/>
      <c r="D223" s="7"/>
    </row>
    <row r="224" customFormat="false" ht="15" hidden="false" customHeight="false" outlineLevel="0" collapsed="false">
      <c r="A224" s="6" t="str">
        <f aca="false">IF('DATA UNIT'!$B13="","",'DATA UNIT'!$B13)</f>
        <v>KT 8342 ZO</v>
      </c>
      <c r="B224" s="6" t="str">
        <f aca="false">IF($A224="","",INDEX(PlanningItemsList,3))</f>
        <v>Service B</v>
      </c>
      <c r="C224" s="7"/>
      <c r="D224" s="7"/>
    </row>
    <row r="225" customFormat="false" ht="15" hidden="false" customHeight="false" outlineLevel="0" collapsed="false">
      <c r="A225" s="6" t="str">
        <f aca="false">IF('DATA UNIT'!$B13="","",'DATA UNIT'!$B13)</f>
        <v>KT 8342 ZO</v>
      </c>
      <c r="B225" s="6" t="str">
        <f aca="false">IF($A225="","",INDEX(PlanningItemsList,4))</f>
        <v>Brake Pad</v>
      </c>
      <c r="C225" s="7"/>
      <c r="D225" s="7"/>
    </row>
    <row r="226" customFormat="false" ht="15" hidden="false" customHeight="false" outlineLevel="0" collapsed="false">
      <c r="A226" s="6" t="str">
        <f aca="false">IF('DATA UNIT'!$B13="","",'DATA UNIT'!$B13)</f>
        <v>KT 8342 ZO</v>
      </c>
      <c r="B226" s="6" t="str">
        <f aca="false">IF($A226="","",INDEX(PlanningItemsList,5))</f>
        <v>Brake Shoe</v>
      </c>
      <c r="C226" s="7"/>
      <c r="D226" s="7"/>
    </row>
    <row r="227" customFormat="false" ht="15" hidden="false" customHeight="false" outlineLevel="0" collapsed="false">
      <c r="A227" s="6" t="str">
        <f aca="false">IF('DATA UNIT'!$B13="","",'DATA UNIT'!$B13)</f>
        <v>KT 8342 ZO</v>
      </c>
      <c r="B227" s="6" t="str">
        <f aca="false">IF($A227="","",INDEX(PlanningItemsList,6))</f>
        <v>Accu</v>
      </c>
      <c r="C227" s="7"/>
      <c r="D227" s="7"/>
    </row>
    <row r="228" customFormat="false" ht="15" hidden="false" customHeight="false" outlineLevel="0" collapsed="false">
      <c r="A228" s="6" t="str">
        <f aca="false">IF('DATA UNIT'!$B13="","",'DATA UNIT'!$B13)</f>
        <v>KT 8342 ZO</v>
      </c>
      <c r="B228" s="6" t="str">
        <f aca="false">IF($A228="","",INDEX(PlanningItemsList,7))</f>
        <v>Kampas Kopling Set</v>
      </c>
      <c r="C228" s="7"/>
      <c r="D228" s="7"/>
    </row>
    <row r="229" customFormat="false" ht="15" hidden="false" customHeight="false" outlineLevel="0" collapsed="false">
      <c r="A229" s="6" t="str">
        <f aca="false">IF('DATA UNIT'!$B13="","",'DATA UNIT'!$B13)</f>
        <v>KT 8342 ZO</v>
      </c>
      <c r="B229" s="6" t="str">
        <f aca="false">IF($A229="","",INDEX(PlanningItemsList,8))</f>
        <v>Wiper Blade</v>
      </c>
      <c r="C229" s="7"/>
      <c r="D229" s="7"/>
    </row>
    <row r="230" customFormat="false" ht="15" hidden="false" customHeight="false" outlineLevel="0" collapsed="false">
      <c r="A230" s="6" t="str">
        <f aca="false">IF('DATA UNIT'!$B13="","",'DATA UNIT'!$B13)</f>
        <v>KT 8342 ZO</v>
      </c>
      <c r="B230" s="6" t="str">
        <f aca="false">IF($A230="","",INDEX(PlanningItemsList,9))</f>
        <v>Ban Depan</v>
      </c>
      <c r="C230" s="7"/>
      <c r="D230" s="7"/>
    </row>
    <row r="231" customFormat="false" ht="15" hidden="false" customHeight="false" outlineLevel="0" collapsed="false">
      <c r="A231" s="6" t="str">
        <f aca="false">IF('DATA UNIT'!$B13="","",'DATA UNIT'!$B13)</f>
        <v>KT 8342 ZO</v>
      </c>
      <c r="B231" s="6" t="str">
        <f aca="false">IF($A231="","",INDEX(PlanningItemsList,10))</f>
        <v>Ban Belakang</v>
      </c>
      <c r="C231" s="7"/>
      <c r="D231" s="7"/>
    </row>
    <row r="232" customFormat="false" ht="15" hidden="false" customHeight="false" outlineLevel="0" collapsed="false">
      <c r="A232" s="6" t="str">
        <f aca="false">IF('DATA UNIT'!$B13="","",'DATA UNIT'!$B13)</f>
        <v>KT 8342 ZO</v>
      </c>
      <c r="B232" s="6" t="str">
        <f aca="false">IF($A232="","",INDEX(PlanningItemsList,11))</f>
        <v>Ban Serep</v>
      </c>
      <c r="C232" s="7"/>
      <c r="D232" s="7"/>
    </row>
    <row r="233" customFormat="false" ht="15" hidden="false" customHeight="false" outlineLevel="0" collapsed="false">
      <c r="A233" s="6" t="str">
        <f aca="false">IF('DATA UNIT'!$B13="","",'DATA UNIT'!$B13)</f>
        <v>KT 8342 ZO</v>
      </c>
      <c r="B233" s="6" t="str">
        <f aca="false">IF($A233="","",INDEX(PlanningItemsList,12))</f>
        <v>Greasing</v>
      </c>
      <c r="C233" s="7"/>
      <c r="D233" s="7"/>
    </row>
    <row r="234" customFormat="false" ht="15" hidden="false" customHeight="false" outlineLevel="0" collapsed="false">
      <c r="A234" s="6" t="str">
        <f aca="false">IF('DATA UNIT'!$B13="","",'DATA UNIT'!$B13)</f>
        <v>KT 8342 ZO</v>
      </c>
      <c r="B234" s="6" t="str">
        <f aca="false">IF($A234="","",INDEX(PlanningItemsList,13))</f>
        <v>V-Belt</v>
      </c>
      <c r="C234" s="7"/>
      <c r="D234" s="7"/>
    </row>
    <row r="235" customFormat="false" ht="15" hidden="false" customHeight="false" outlineLevel="0" collapsed="false">
      <c r="A235" s="6" t="str">
        <f aca="false">IF('DATA UNIT'!$B13="","",'DATA UNIT'!$B13)</f>
        <v>KT 8342 ZO</v>
      </c>
      <c r="B235" s="6" t="str">
        <f aca="false">IF($A235="","",INDEX(PlanningItemsList,14))</f>
        <v>Sarung Jok</v>
      </c>
      <c r="C235" s="7"/>
      <c r="D235" s="7"/>
    </row>
    <row r="236" customFormat="false" ht="15" hidden="false" customHeight="false" outlineLevel="0" collapsed="false">
      <c r="A236" s="6" t="str">
        <f aca="false">IF('DATA UNIT'!$B13="","",'DATA UNIT'!$B13)</f>
        <v>KT 8342 ZO</v>
      </c>
      <c r="B236" s="6" t="str">
        <f aca="false">IF($A236="","",INDEX(PlanningItemsList,15))</f>
        <v>Karpet Karet</v>
      </c>
      <c r="C236" s="7"/>
      <c r="D236" s="7"/>
    </row>
    <row r="237" customFormat="false" ht="15" hidden="false" customHeight="false" outlineLevel="0" collapsed="false">
      <c r="A237" s="6" t="str">
        <f aca="false">IF('DATA UNIT'!$B13="","",'DATA UNIT'!$B13)</f>
        <v>KT 8342 ZO</v>
      </c>
      <c r="B237" s="6" t="str">
        <f aca="false">IF($A237="","",INDEX(PlanningItemsList,16))</f>
        <v>Karpet Dasar</v>
      </c>
      <c r="C237" s="7"/>
      <c r="D237" s="7"/>
    </row>
    <row r="238" customFormat="false" ht="15" hidden="false" customHeight="false" outlineLevel="0" collapsed="false">
      <c r="A238" s="6" t="str">
        <f aca="false">IF('DATA UNIT'!$B13="","",'DATA UNIT'!$B13)</f>
        <v>KT 8342 ZO</v>
      </c>
      <c r="B238" s="6" t="str">
        <f aca="false">IF($A238="","",INDEX(PlanningItemsList,17))</f>
        <v>Flushing Radiator</v>
      </c>
      <c r="C238" s="7"/>
      <c r="D238" s="7"/>
    </row>
    <row r="239" customFormat="false" ht="15" hidden="false" customHeight="false" outlineLevel="0" collapsed="false">
      <c r="A239" s="6" t="str">
        <f aca="false">IF('DATA UNIT'!$B13="","",'DATA UNIT'!$B13)</f>
        <v>KT 8342 ZO</v>
      </c>
      <c r="B239" s="6" t="str">
        <f aca="false">IF($A239="","",INDEX(PlanningItemsList,18))</f>
        <v>Flushing Steering</v>
      </c>
      <c r="C239" s="7"/>
      <c r="D239" s="7"/>
    </row>
    <row r="240" customFormat="false" ht="15" hidden="false" customHeight="false" outlineLevel="0" collapsed="false">
      <c r="A240" s="6" t="str">
        <f aca="false">IF('DATA UNIT'!$B13="","",'DATA UNIT'!$B13)</f>
        <v>KT 8342 ZO</v>
      </c>
      <c r="B240" s="6" t="str">
        <f aca="false">IF($A240="","",INDEX(PlanningItemsList,19))</f>
        <v>Flushing Injector</v>
      </c>
      <c r="C240" s="7"/>
      <c r="D240" s="7"/>
    </row>
    <row r="241" customFormat="false" ht="15" hidden="false" customHeight="false" outlineLevel="0" collapsed="false">
      <c r="A241" s="6" t="str">
        <f aca="false">IF('DATA UNIT'!$B13="","",'DATA UNIT'!$B13)</f>
        <v>KT 8342 ZO</v>
      </c>
      <c r="B241" s="6" t="str">
        <f aca="false">IF($A241="","",INDEX(PlanningItemsList,20))</f>
        <v>Flushing Rem</v>
      </c>
      <c r="C241" s="7"/>
      <c r="D241" s="7"/>
    </row>
    <row r="242" customFormat="false" ht="15" hidden="false" customHeight="false" outlineLevel="0" collapsed="false">
      <c r="A242" s="6" t="str">
        <f aca="false">IF('DATA UNIT'!$B14="","",'DATA UNIT'!$B14)</f>
        <v>KT 8452 ZO</v>
      </c>
      <c r="B242" s="6" t="str">
        <f aca="false">IF($A242="","",INDEX(PlanningItemsList,1))</f>
        <v>PM Check / Reguler Services</v>
      </c>
      <c r="C242" s="7"/>
      <c r="D242" s="7"/>
    </row>
    <row r="243" customFormat="false" ht="15" hidden="false" customHeight="false" outlineLevel="0" collapsed="false">
      <c r="A243" s="6" t="str">
        <f aca="false">IF('DATA UNIT'!$B14="","",'DATA UNIT'!$B14)</f>
        <v>KT 8452 ZO</v>
      </c>
      <c r="B243" s="6" t="str">
        <f aca="false">IF($A243="","",INDEX(PlanningItemsList,2))</f>
        <v>Service A</v>
      </c>
      <c r="C243" s="7"/>
      <c r="D243" s="7"/>
    </row>
    <row r="244" customFormat="false" ht="15" hidden="false" customHeight="false" outlineLevel="0" collapsed="false">
      <c r="A244" s="6" t="str">
        <f aca="false">IF('DATA UNIT'!$B14="","",'DATA UNIT'!$B14)</f>
        <v>KT 8452 ZO</v>
      </c>
      <c r="B244" s="6" t="str">
        <f aca="false">IF($A244="","",INDEX(PlanningItemsList,3))</f>
        <v>Service B</v>
      </c>
      <c r="C244" s="7"/>
      <c r="D244" s="7"/>
    </row>
    <row r="245" customFormat="false" ht="15" hidden="false" customHeight="false" outlineLevel="0" collapsed="false">
      <c r="A245" s="6" t="str">
        <f aca="false">IF('DATA UNIT'!$B14="","",'DATA UNIT'!$B14)</f>
        <v>KT 8452 ZO</v>
      </c>
      <c r="B245" s="6" t="str">
        <f aca="false">IF($A245="","",INDEX(PlanningItemsList,4))</f>
        <v>Brake Pad</v>
      </c>
      <c r="C245" s="7"/>
      <c r="D245" s="7"/>
    </row>
    <row r="246" customFormat="false" ht="15" hidden="false" customHeight="false" outlineLevel="0" collapsed="false">
      <c r="A246" s="6" t="str">
        <f aca="false">IF('DATA UNIT'!$B14="","",'DATA UNIT'!$B14)</f>
        <v>KT 8452 ZO</v>
      </c>
      <c r="B246" s="6" t="str">
        <f aca="false">IF($A246="","",INDEX(PlanningItemsList,5))</f>
        <v>Brake Shoe</v>
      </c>
      <c r="C246" s="7"/>
      <c r="D246" s="7"/>
    </row>
    <row r="247" customFormat="false" ht="15" hidden="false" customHeight="false" outlineLevel="0" collapsed="false">
      <c r="A247" s="6" t="str">
        <f aca="false">IF('DATA UNIT'!$B14="","",'DATA UNIT'!$B14)</f>
        <v>KT 8452 ZO</v>
      </c>
      <c r="B247" s="6" t="str">
        <f aca="false">IF($A247="","",INDEX(PlanningItemsList,6))</f>
        <v>Accu</v>
      </c>
      <c r="C247" s="7"/>
      <c r="D247" s="7"/>
    </row>
    <row r="248" customFormat="false" ht="15" hidden="false" customHeight="false" outlineLevel="0" collapsed="false">
      <c r="A248" s="6" t="str">
        <f aca="false">IF('DATA UNIT'!$B14="","",'DATA UNIT'!$B14)</f>
        <v>KT 8452 ZO</v>
      </c>
      <c r="B248" s="6" t="str">
        <f aca="false">IF($A248="","",INDEX(PlanningItemsList,7))</f>
        <v>Kampas Kopling Set</v>
      </c>
      <c r="C248" s="7"/>
      <c r="D248" s="7"/>
    </row>
    <row r="249" customFormat="false" ht="15" hidden="false" customHeight="false" outlineLevel="0" collapsed="false">
      <c r="A249" s="6" t="str">
        <f aca="false">IF('DATA UNIT'!$B14="","",'DATA UNIT'!$B14)</f>
        <v>KT 8452 ZO</v>
      </c>
      <c r="B249" s="6" t="str">
        <f aca="false">IF($A249="","",INDEX(PlanningItemsList,8))</f>
        <v>Wiper Blade</v>
      </c>
      <c r="C249" s="7"/>
      <c r="D249" s="7"/>
    </row>
    <row r="250" customFormat="false" ht="15" hidden="false" customHeight="false" outlineLevel="0" collapsed="false">
      <c r="A250" s="6" t="str">
        <f aca="false">IF('DATA UNIT'!$B14="","",'DATA UNIT'!$B14)</f>
        <v>KT 8452 ZO</v>
      </c>
      <c r="B250" s="6" t="str">
        <f aca="false">IF($A250="","",INDEX(PlanningItemsList,9))</f>
        <v>Ban Depan</v>
      </c>
      <c r="C250" s="7"/>
      <c r="D250" s="7"/>
    </row>
    <row r="251" customFormat="false" ht="15" hidden="false" customHeight="false" outlineLevel="0" collapsed="false">
      <c r="A251" s="6" t="str">
        <f aca="false">IF('DATA UNIT'!$B14="","",'DATA UNIT'!$B14)</f>
        <v>KT 8452 ZO</v>
      </c>
      <c r="B251" s="6" t="str">
        <f aca="false">IF($A251="","",INDEX(PlanningItemsList,10))</f>
        <v>Ban Belakang</v>
      </c>
      <c r="C251" s="7"/>
      <c r="D251" s="7"/>
    </row>
    <row r="252" customFormat="false" ht="15" hidden="false" customHeight="false" outlineLevel="0" collapsed="false">
      <c r="A252" s="6" t="str">
        <f aca="false">IF('DATA UNIT'!$B14="","",'DATA UNIT'!$B14)</f>
        <v>KT 8452 ZO</v>
      </c>
      <c r="B252" s="6" t="str">
        <f aca="false">IF($A252="","",INDEX(PlanningItemsList,11))</f>
        <v>Ban Serep</v>
      </c>
      <c r="C252" s="7"/>
      <c r="D252" s="7"/>
    </row>
    <row r="253" customFormat="false" ht="15" hidden="false" customHeight="false" outlineLevel="0" collapsed="false">
      <c r="A253" s="6" t="str">
        <f aca="false">IF('DATA UNIT'!$B14="","",'DATA UNIT'!$B14)</f>
        <v>KT 8452 ZO</v>
      </c>
      <c r="B253" s="6" t="str">
        <f aca="false">IF($A253="","",INDEX(PlanningItemsList,12))</f>
        <v>Greasing</v>
      </c>
      <c r="C253" s="7"/>
      <c r="D253" s="7"/>
    </row>
    <row r="254" customFormat="false" ht="15" hidden="false" customHeight="false" outlineLevel="0" collapsed="false">
      <c r="A254" s="6" t="str">
        <f aca="false">IF('DATA UNIT'!$B14="","",'DATA UNIT'!$B14)</f>
        <v>KT 8452 ZO</v>
      </c>
      <c r="B254" s="6" t="str">
        <f aca="false">IF($A254="","",INDEX(PlanningItemsList,13))</f>
        <v>V-Belt</v>
      </c>
      <c r="C254" s="7"/>
      <c r="D254" s="7"/>
    </row>
    <row r="255" customFormat="false" ht="15" hidden="false" customHeight="false" outlineLevel="0" collapsed="false">
      <c r="A255" s="6" t="str">
        <f aca="false">IF('DATA UNIT'!$B14="","",'DATA UNIT'!$B14)</f>
        <v>KT 8452 ZO</v>
      </c>
      <c r="B255" s="6" t="str">
        <f aca="false">IF($A255="","",INDEX(PlanningItemsList,14))</f>
        <v>Sarung Jok</v>
      </c>
      <c r="C255" s="7"/>
      <c r="D255" s="7"/>
    </row>
    <row r="256" customFormat="false" ht="15" hidden="false" customHeight="false" outlineLevel="0" collapsed="false">
      <c r="A256" s="6" t="str">
        <f aca="false">IF('DATA UNIT'!$B14="","",'DATA UNIT'!$B14)</f>
        <v>KT 8452 ZO</v>
      </c>
      <c r="B256" s="6" t="str">
        <f aca="false">IF($A256="","",INDEX(PlanningItemsList,15))</f>
        <v>Karpet Karet</v>
      </c>
      <c r="C256" s="7"/>
      <c r="D256" s="7"/>
    </row>
    <row r="257" customFormat="false" ht="15" hidden="false" customHeight="false" outlineLevel="0" collapsed="false">
      <c r="A257" s="6" t="str">
        <f aca="false">IF('DATA UNIT'!$B14="","",'DATA UNIT'!$B14)</f>
        <v>KT 8452 ZO</v>
      </c>
      <c r="B257" s="6" t="str">
        <f aca="false">IF($A257="","",INDEX(PlanningItemsList,16))</f>
        <v>Karpet Dasar</v>
      </c>
      <c r="C257" s="7"/>
      <c r="D257" s="7"/>
    </row>
    <row r="258" customFormat="false" ht="15" hidden="false" customHeight="false" outlineLevel="0" collapsed="false">
      <c r="A258" s="6" t="str">
        <f aca="false">IF('DATA UNIT'!$B14="","",'DATA UNIT'!$B14)</f>
        <v>KT 8452 ZO</v>
      </c>
      <c r="B258" s="6" t="str">
        <f aca="false">IF($A258="","",INDEX(PlanningItemsList,17))</f>
        <v>Flushing Radiator</v>
      </c>
      <c r="C258" s="7"/>
      <c r="D258" s="7"/>
    </row>
    <row r="259" customFormat="false" ht="15" hidden="false" customHeight="false" outlineLevel="0" collapsed="false">
      <c r="A259" s="6" t="str">
        <f aca="false">IF('DATA UNIT'!$B14="","",'DATA UNIT'!$B14)</f>
        <v>KT 8452 ZO</v>
      </c>
      <c r="B259" s="6" t="str">
        <f aca="false">IF($A259="","",INDEX(PlanningItemsList,18))</f>
        <v>Flushing Steering</v>
      </c>
      <c r="C259" s="7"/>
      <c r="D259" s="7"/>
    </row>
    <row r="260" customFormat="false" ht="15" hidden="false" customHeight="false" outlineLevel="0" collapsed="false">
      <c r="A260" s="6" t="str">
        <f aca="false">IF('DATA UNIT'!$B14="","",'DATA UNIT'!$B14)</f>
        <v>KT 8452 ZO</v>
      </c>
      <c r="B260" s="6" t="str">
        <f aca="false">IF($A260="","",INDEX(PlanningItemsList,19))</f>
        <v>Flushing Injector</v>
      </c>
      <c r="C260" s="7"/>
      <c r="D260" s="7"/>
    </row>
    <row r="261" customFormat="false" ht="15" hidden="false" customHeight="false" outlineLevel="0" collapsed="false">
      <c r="A261" s="6" t="str">
        <f aca="false">IF('DATA UNIT'!$B14="","",'DATA UNIT'!$B14)</f>
        <v>KT 8452 ZO</v>
      </c>
      <c r="B261" s="6" t="str">
        <f aca="false">IF($A261="","",INDEX(PlanningItemsList,20))</f>
        <v>Flushing Rem</v>
      </c>
      <c r="C261" s="7"/>
      <c r="D261" s="7"/>
    </row>
    <row r="262" customFormat="false" ht="15" hidden="false" customHeight="false" outlineLevel="0" collapsed="false">
      <c r="A262" s="6" t="str">
        <f aca="false">IF('DATA UNIT'!$B15="","",'DATA UNIT'!$B15)</f>
        <v>KT 8453 ZO</v>
      </c>
      <c r="B262" s="6" t="str">
        <f aca="false">IF($A262="","",INDEX(PlanningItemsList,1))</f>
        <v>PM Check / Reguler Services</v>
      </c>
      <c r="C262" s="7"/>
      <c r="D262" s="7"/>
    </row>
    <row r="263" customFormat="false" ht="15" hidden="false" customHeight="false" outlineLevel="0" collapsed="false">
      <c r="A263" s="6" t="str">
        <f aca="false">IF('DATA UNIT'!$B15="","",'DATA UNIT'!$B15)</f>
        <v>KT 8453 ZO</v>
      </c>
      <c r="B263" s="6" t="str">
        <f aca="false">IF($A263="","",INDEX(PlanningItemsList,2))</f>
        <v>Service A</v>
      </c>
      <c r="C263" s="7"/>
      <c r="D263" s="7"/>
    </row>
    <row r="264" customFormat="false" ht="15" hidden="false" customHeight="false" outlineLevel="0" collapsed="false">
      <c r="A264" s="6" t="str">
        <f aca="false">IF('DATA UNIT'!$B15="","",'DATA UNIT'!$B15)</f>
        <v>KT 8453 ZO</v>
      </c>
      <c r="B264" s="6" t="str">
        <f aca="false">IF($A264="","",INDEX(PlanningItemsList,3))</f>
        <v>Service B</v>
      </c>
      <c r="C264" s="7"/>
      <c r="D264" s="7"/>
    </row>
    <row r="265" customFormat="false" ht="15" hidden="false" customHeight="false" outlineLevel="0" collapsed="false">
      <c r="A265" s="6" t="str">
        <f aca="false">IF('DATA UNIT'!$B15="","",'DATA UNIT'!$B15)</f>
        <v>KT 8453 ZO</v>
      </c>
      <c r="B265" s="6" t="str">
        <f aca="false">IF($A265="","",INDEX(PlanningItemsList,4))</f>
        <v>Brake Pad</v>
      </c>
      <c r="C265" s="7"/>
      <c r="D265" s="7"/>
    </row>
    <row r="266" customFormat="false" ht="15" hidden="false" customHeight="false" outlineLevel="0" collapsed="false">
      <c r="A266" s="6" t="str">
        <f aca="false">IF('DATA UNIT'!$B15="","",'DATA UNIT'!$B15)</f>
        <v>KT 8453 ZO</v>
      </c>
      <c r="B266" s="6" t="str">
        <f aca="false">IF($A266="","",INDEX(PlanningItemsList,5))</f>
        <v>Brake Shoe</v>
      </c>
      <c r="C266" s="7"/>
      <c r="D266" s="7"/>
    </row>
    <row r="267" customFormat="false" ht="15" hidden="false" customHeight="false" outlineLevel="0" collapsed="false">
      <c r="A267" s="6" t="str">
        <f aca="false">IF('DATA UNIT'!$B15="","",'DATA UNIT'!$B15)</f>
        <v>KT 8453 ZO</v>
      </c>
      <c r="B267" s="6" t="str">
        <f aca="false">IF($A267="","",INDEX(PlanningItemsList,6))</f>
        <v>Accu</v>
      </c>
      <c r="C267" s="7"/>
      <c r="D267" s="7"/>
    </row>
    <row r="268" customFormat="false" ht="15" hidden="false" customHeight="false" outlineLevel="0" collapsed="false">
      <c r="A268" s="6" t="str">
        <f aca="false">IF('DATA UNIT'!$B15="","",'DATA UNIT'!$B15)</f>
        <v>KT 8453 ZO</v>
      </c>
      <c r="B268" s="6" t="str">
        <f aca="false">IF($A268="","",INDEX(PlanningItemsList,7))</f>
        <v>Kampas Kopling Set</v>
      </c>
      <c r="C268" s="7"/>
      <c r="D268" s="7"/>
    </row>
    <row r="269" customFormat="false" ht="15" hidden="false" customHeight="false" outlineLevel="0" collapsed="false">
      <c r="A269" s="6" t="str">
        <f aca="false">IF('DATA UNIT'!$B15="","",'DATA UNIT'!$B15)</f>
        <v>KT 8453 ZO</v>
      </c>
      <c r="B269" s="6" t="str">
        <f aca="false">IF($A269="","",INDEX(PlanningItemsList,8))</f>
        <v>Wiper Blade</v>
      </c>
      <c r="C269" s="7"/>
      <c r="D269" s="7"/>
    </row>
    <row r="270" customFormat="false" ht="15" hidden="false" customHeight="false" outlineLevel="0" collapsed="false">
      <c r="A270" s="6" t="str">
        <f aca="false">IF('DATA UNIT'!$B15="","",'DATA UNIT'!$B15)</f>
        <v>KT 8453 ZO</v>
      </c>
      <c r="B270" s="6" t="str">
        <f aca="false">IF($A270="","",INDEX(PlanningItemsList,9))</f>
        <v>Ban Depan</v>
      </c>
      <c r="C270" s="7"/>
      <c r="D270" s="7"/>
    </row>
    <row r="271" customFormat="false" ht="15" hidden="false" customHeight="false" outlineLevel="0" collapsed="false">
      <c r="A271" s="6" t="str">
        <f aca="false">IF('DATA UNIT'!$B15="","",'DATA UNIT'!$B15)</f>
        <v>KT 8453 ZO</v>
      </c>
      <c r="B271" s="6" t="str">
        <f aca="false">IF($A271="","",INDEX(PlanningItemsList,10))</f>
        <v>Ban Belakang</v>
      </c>
      <c r="C271" s="7"/>
      <c r="D271" s="7"/>
    </row>
    <row r="272" customFormat="false" ht="15" hidden="false" customHeight="false" outlineLevel="0" collapsed="false">
      <c r="A272" s="6" t="str">
        <f aca="false">IF('DATA UNIT'!$B15="","",'DATA UNIT'!$B15)</f>
        <v>KT 8453 ZO</v>
      </c>
      <c r="B272" s="6" t="str">
        <f aca="false">IF($A272="","",INDEX(PlanningItemsList,11))</f>
        <v>Ban Serep</v>
      </c>
      <c r="C272" s="7"/>
      <c r="D272" s="7"/>
    </row>
    <row r="273" customFormat="false" ht="15" hidden="false" customHeight="false" outlineLevel="0" collapsed="false">
      <c r="A273" s="6" t="str">
        <f aca="false">IF('DATA UNIT'!$B15="","",'DATA UNIT'!$B15)</f>
        <v>KT 8453 ZO</v>
      </c>
      <c r="B273" s="6" t="str">
        <f aca="false">IF($A273="","",INDEX(PlanningItemsList,12))</f>
        <v>Greasing</v>
      </c>
      <c r="C273" s="7"/>
      <c r="D273" s="7"/>
    </row>
    <row r="274" customFormat="false" ht="15" hidden="false" customHeight="false" outlineLevel="0" collapsed="false">
      <c r="A274" s="6" t="str">
        <f aca="false">IF('DATA UNIT'!$B15="","",'DATA UNIT'!$B15)</f>
        <v>KT 8453 ZO</v>
      </c>
      <c r="B274" s="6" t="str">
        <f aca="false">IF($A274="","",INDEX(PlanningItemsList,13))</f>
        <v>V-Belt</v>
      </c>
      <c r="C274" s="7"/>
      <c r="D274" s="7"/>
    </row>
    <row r="275" customFormat="false" ht="15" hidden="false" customHeight="false" outlineLevel="0" collapsed="false">
      <c r="A275" s="6" t="str">
        <f aca="false">IF('DATA UNIT'!$B15="","",'DATA UNIT'!$B15)</f>
        <v>KT 8453 ZO</v>
      </c>
      <c r="B275" s="6" t="str">
        <f aca="false">IF($A275="","",INDEX(PlanningItemsList,14))</f>
        <v>Sarung Jok</v>
      </c>
      <c r="C275" s="7"/>
      <c r="D275" s="7"/>
    </row>
    <row r="276" customFormat="false" ht="15" hidden="false" customHeight="false" outlineLevel="0" collapsed="false">
      <c r="A276" s="6" t="str">
        <f aca="false">IF('DATA UNIT'!$B15="","",'DATA UNIT'!$B15)</f>
        <v>KT 8453 ZO</v>
      </c>
      <c r="B276" s="6" t="str">
        <f aca="false">IF($A276="","",INDEX(PlanningItemsList,15))</f>
        <v>Karpet Karet</v>
      </c>
      <c r="C276" s="7"/>
      <c r="D276" s="7"/>
    </row>
    <row r="277" customFormat="false" ht="15" hidden="false" customHeight="false" outlineLevel="0" collapsed="false">
      <c r="A277" s="6" t="str">
        <f aca="false">IF('DATA UNIT'!$B15="","",'DATA UNIT'!$B15)</f>
        <v>KT 8453 ZO</v>
      </c>
      <c r="B277" s="6" t="str">
        <f aca="false">IF($A277="","",INDEX(PlanningItemsList,16))</f>
        <v>Karpet Dasar</v>
      </c>
      <c r="C277" s="7"/>
      <c r="D277" s="7"/>
    </row>
    <row r="278" customFormat="false" ht="15" hidden="false" customHeight="false" outlineLevel="0" collapsed="false">
      <c r="A278" s="6" t="str">
        <f aca="false">IF('DATA UNIT'!$B15="","",'DATA UNIT'!$B15)</f>
        <v>KT 8453 ZO</v>
      </c>
      <c r="B278" s="6" t="str">
        <f aca="false">IF($A278="","",INDEX(PlanningItemsList,17))</f>
        <v>Flushing Radiator</v>
      </c>
      <c r="C278" s="7"/>
      <c r="D278" s="7"/>
    </row>
    <row r="279" customFormat="false" ht="15" hidden="false" customHeight="false" outlineLevel="0" collapsed="false">
      <c r="A279" s="6" t="str">
        <f aca="false">IF('DATA UNIT'!$B15="","",'DATA UNIT'!$B15)</f>
        <v>KT 8453 ZO</v>
      </c>
      <c r="B279" s="6" t="str">
        <f aca="false">IF($A279="","",INDEX(PlanningItemsList,18))</f>
        <v>Flushing Steering</v>
      </c>
      <c r="C279" s="7"/>
      <c r="D279" s="7"/>
    </row>
    <row r="280" customFormat="false" ht="15" hidden="false" customHeight="false" outlineLevel="0" collapsed="false">
      <c r="A280" s="6" t="str">
        <f aca="false">IF('DATA UNIT'!$B15="","",'DATA UNIT'!$B15)</f>
        <v>KT 8453 ZO</v>
      </c>
      <c r="B280" s="6" t="str">
        <f aca="false">IF($A280="","",INDEX(PlanningItemsList,19))</f>
        <v>Flushing Injector</v>
      </c>
      <c r="C280" s="7"/>
      <c r="D280" s="7"/>
    </row>
    <row r="281" customFormat="false" ht="15" hidden="false" customHeight="false" outlineLevel="0" collapsed="false">
      <c r="A281" s="6" t="str">
        <f aca="false">IF('DATA UNIT'!$B15="","",'DATA UNIT'!$B15)</f>
        <v>KT 8453 ZO</v>
      </c>
      <c r="B281" s="6" t="str">
        <f aca="false">IF($A281="","",INDEX(PlanningItemsList,20))</f>
        <v>Flushing Rem</v>
      </c>
      <c r="C281" s="7"/>
      <c r="D281" s="7"/>
    </row>
    <row r="282" customFormat="false" ht="15" hidden="false" customHeight="false" outlineLevel="0" collapsed="false">
      <c r="A282" s="6" t="str">
        <f aca="false">IF('DATA UNIT'!$B16="","",'DATA UNIT'!$B16)</f>
        <v>KT 8987 YS</v>
      </c>
      <c r="B282" s="6" t="str">
        <f aca="false">IF($A282="","",INDEX(PlanningItemsList,1))</f>
        <v>PM Check / Reguler Services</v>
      </c>
      <c r="C282" s="7"/>
      <c r="D282" s="7"/>
    </row>
    <row r="283" customFormat="false" ht="15" hidden="false" customHeight="false" outlineLevel="0" collapsed="false">
      <c r="A283" s="6" t="str">
        <f aca="false">IF('DATA UNIT'!$B16="","",'DATA UNIT'!$B16)</f>
        <v>KT 8987 YS</v>
      </c>
      <c r="B283" s="6" t="str">
        <f aca="false">IF($A283="","",INDEX(PlanningItemsList,2))</f>
        <v>Service A</v>
      </c>
      <c r="C283" s="7"/>
      <c r="D283" s="7"/>
    </row>
    <row r="284" customFormat="false" ht="15" hidden="false" customHeight="false" outlineLevel="0" collapsed="false">
      <c r="A284" s="6" t="str">
        <f aca="false">IF('DATA UNIT'!$B16="","",'DATA UNIT'!$B16)</f>
        <v>KT 8987 YS</v>
      </c>
      <c r="B284" s="6" t="str">
        <f aca="false">IF($A284="","",INDEX(PlanningItemsList,3))</f>
        <v>Service B</v>
      </c>
      <c r="C284" s="7"/>
      <c r="D284" s="7"/>
    </row>
    <row r="285" customFormat="false" ht="15" hidden="false" customHeight="false" outlineLevel="0" collapsed="false">
      <c r="A285" s="6" t="str">
        <f aca="false">IF('DATA UNIT'!$B16="","",'DATA UNIT'!$B16)</f>
        <v>KT 8987 YS</v>
      </c>
      <c r="B285" s="6" t="str">
        <f aca="false">IF($A285="","",INDEX(PlanningItemsList,4))</f>
        <v>Brake Pad</v>
      </c>
      <c r="C285" s="7"/>
      <c r="D285" s="7"/>
    </row>
    <row r="286" customFormat="false" ht="15" hidden="false" customHeight="false" outlineLevel="0" collapsed="false">
      <c r="A286" s="6" t="str">
        <f aca="false">IF('DATA UNIT'!$B16="","",'DATA UNIT'!$B16)</f>
        <v>KT 8987 YS</v>
      </c>
      <c r="B286" s="6" t="str">
        <f aca="false">IF($A286="","",INDEX(PlanningItemsList,5))</f>
        <v>Brake Shoe</v>
      </c>
      <c r="C286" s="7"/>
      <c r="D286" s="7"/>
    </row>
    <row r="287" customFormat="false" ht="15" hidden="false" customHeight="false" outlineLevel="0" collapsed="false">
      <c r="A287" s="6" t="str">
        <f aca="false">IF('DATA UNIT'!$B16="","",'DATA UNIT'!$B16)</f>
        <v>KT 8987 YS</v>
      </c>
      <c r="B287" s="6" t="str">
        <f aca="false">IF($A287="","",INDEX(PlanningItemsList,6))</f>
        <v>Accu</v>
      </c>
      <c r="C287" s="7"/>
      <c r="D287" s="7"/>
    </row>
    <row r="288" customFormat="false" ht="15" hidden="false" customHeight="false" outlineLevel="0" collapsed="false">
      <c r="A288" s="6" t="str">
        <f aca="false">IF('DATA UNIT'!$B16="","",'DATA UNIT'!$B16)</f>
        <v>KT 8987 YS</v>
      </c>
      <c r="B288" s="6" t="str">
        <f aca="false">IF($A288="","",INDEX(PlanningItemsList,7))</f>
        <v>Kampas Kopling Set</v>
      </c>
      <c r="C288" s="7"/>
      <c r="D288" s="7"/>
    </row>
    <row r="289" customFormat="false" ht="15" hidden="false" customHeight="false" outlineLevel="0" collapsed="false">
      <c r="A289" s="6" t="str">
        <f aca="false">IF('DATA UNIT'!$B16="","",'DATA UNIT'!$B16)</f>
        <v>KT 8987 YS</v>
      </c>
      <c r="B289" s="6" t="str">
        <f aca="false">IF($A289="","",INDEX(PlanningItemsList,8))</f>
        <v>Wiper Blade</v>
      </c>
      <c r="C289" s="7"/>
      <c r="D289" s="7"/>
    </row>
    <row r="290" customFormat="false" ht="15" hidden="false" customHeight="false" outlineLevel="0" collapsed="false">
      <c r="A290" s="6" t="str">
        <f aca="false">IF('DATA UNIT'!$B16="","",'DATA UNIT'!$B16)</f>
        <v>KT 8987 YS</v>
      </c>
      <c r="B290" s="6" t="str">
        <f aca="false">IF($A290="","",INDEX(PlanningItemsList,9))</f>
        <v>Ban Depan</v>
      </c>
      <c r="C290" s="7"/>
      <c r="D290" s="7"/>
    </row>
    <row r="291" customFormat="false" ht="15" hidden="false" customHeight="false" outlineLevel="0" collapsed="false">
      <c r="A291" s="6" t="str">
        <f aca="false">IF('DATA UNIT'!$B16="","",'DATA UNIT'!$B16)</f>
        <v>KT 8987 YS</v>
      </c>
      <c r="B291" s="6" t="str">
        <f aca="false">IF($A291="","",INDEX(PlanningItemsList,10))</f>
        <v>Ban Belakang</v>
      </c>
      <c r="C291" s="7"/>
      <c r="D291" s="7"/>
    </row>
    <row r="292" customFormat="false" ht="15" hidden="false" customHeight="false" outlineLevel="0" collapsed="false">
      <c r="A292" s="6" t="str">
        <f aca="false">IF('DATA UNIT'!$B16="","",'DATA UNIT'!$B16)</f>
        <v>KT 8987 YS</v>
      </c>
      <c r="B292" s="6" t="str">
        <f aca="false">IF($A292="","",INDEX(PlanningItemsList,11))</f>
        <v>Ban Serep</v>
      </c>
      <c r="C292" s="7"/>
      <c r="D292" s="7"/>
    </row>
    <row r="293" customFormat="false" ht="15" hidden="false" customHeight="false" outlineLevel="0" collapsed="false">
      <c r="A293" s="6" t="str">
        <f aca="false">IF('DATA UNIT'!$B16="","",'DATA UNIT'!$B16)</f>
        <v>KT 8987 YS</v>
      </c>
      <c r="B293" s="6" t="str">
        <f aca="false">IF($A293="","",INDEX(PlanningItemsList,12))</f>
        <v>Greasing</v>
      </c>
      <c r="C293" s="7"/>
      <c r="D293" s="7"/>
    </row>
    <row r="294" customFormat="false" ht="15" hidden="false" customHeight="false" outlineLevel="0" collapsed="false">
      <c r="A294" s="6" t="str">
        <f aca="false">IF('DATA UNIT'!$B16="","",'DATA UNIT'!$B16)</f>
        <v>KT 8987 YS</v>
      </c>
      <c r="B294" s="6" t="str">
        <f aca="false">IF($A294="","",INDEX(PlanningItemsList,13))</f>
        <v>V-Belt</v>
      </c>
      <c r="C294" s="7"/>
      <c r="D294" s="7"/>
    </row>
    <row r="295" customFormat="false" ht="15" hidden="false" customHeight="false" outlineLevel="0" collapsed="false">
      <c r="A295" s="6" t="str">
        <f aca="false">IF('DATA UNIT'!$B16="","",'DATA UNIT'!$B16)</f>
        <v>KT 8987 YS</v>
      </c>
      <c r="B295" s="6" t="str">
        <f aca="false">IF($A295="","",INDEX(PlanningItemsList,14))</f>
        <v>Sarung Jok</v>
      </c>
      <c r="C295" s="7"/>
      <c r="D295" s="7"/>
    </row>
    <row r="296" customFormat="false" ht="15" hidden="false" customHeight="false" outlineLevel="0" collapsed="false">
      <c r="A296" s="6" t="str">
        <f aca="false">IF('DATA UNIT'!$B16="","",'DATA UNIT'!$B16)</f>
        <v>KT 8987 YS</v>
      </c>
      <c r="B296" s="6" t="str">
        <f aca="false">IF($A296="","",INDEX(PlanningItemsList,15))</f>
        <v>Karpet Karet</v>
      </c>
      <c r="C296" s="7"/>
      <c r="D296" s="7"/>
    </row>
    <row r="297" customFormat="false" ht="15" hidden="false" customHeight="false" outlineLevel="0" collapsed="false">
      <c r="A297" s="6" t="str">
        <f aca="false">IF('DATA UNIT'!$B16="","",'DATA UNIT'!$B16)</f>
        <v>KT 8987 YS</v>
      </c>
      <c r="B297" s="6" t="str">
        <f aca="false">IF($A297="","",INDEX(PlanningItemsList,16))</f>
        <v>Karpet Dasar</v>
      </c>
      <c r="C297" s="7"/>
      <c r="D297" s="7"/>
    </row>
    <row r="298" customFormat="false" ht="15" hidden="false" customHeight="false" outlineLevel="0" collapsed="false">
      <c r="A298" s="6" t="str">
        <f aca="false">IF('DATA UNIT'!$B16="","",'DATA UNIT'!$B16)</f>
        <v>KT 8987 YS</v>
      </c>
      <c r="B298" s="6" t="str">
        <f aca="false">IF($A298="","",INDEX(PlanningItemsList,17))</f>
        <v>Flushing Radiator</v>
      </c>
      <c r="C298" s="7"/>
      <c r="D298" s="7"/>
    </row>
    <row r="299" customFormat="false" ht="15" hidden="false" customHeight="false" outlineLevel="0" collapsed="false">
      <c r="A299" s="6" t="str">
        <f aca="false">IF('DATA UNIT'!$B16="","",'DATA UNIT'!$B16)</f>
        <v>KT 8987 YS</v>
      </c>
      <c r="B299" s="6" t="str">
        <f aca="false">IF($A299="","",INDEX(PlanningItemsList,18))</f>
        <v>Flushing Steering</v>
      </c>
      <c r="C299" s="7"/>
      <c r="D299" s="7"/>
    </row>
    <row r="300" customFormat="false" ht="15" hidden="false" customHeight="false" outlineLevel="0" collapsed="false">
      <c r="A300" s="6" t="str">
        <f aca="false">IF('DATA UNIT'!$B16="","",'DATA UNIT'!$B16)</f>
        <v>KT 8987 YS</v>
      </c>
      <c r="B300" s="6" t="str">
        <f aca="false">IF($A300="","",INDEX(PlanningItemsList,19))</f>
        <v>Flushing Injector</v>
      </c>
      <c r="C300" s="7"/>
      <c r="D300" s="7"/>
    </row>
    <row r="301" customFormat="false" ht="15" hidden="false" customHeight="false" outlineLevel="0" collapsed="false">
      <c r="A301" s="6" t="str">
        <f aca="false">IF('DATA UNIT'!$B16="","",'DATA UNIT'!$B16)</f>
        <v>KT 8987 YS</v>
      </c>
      <c r="B301" s="6" t="str">
        <f aca="false">IF($A301="","",INDEX(PlanningItemsList,20))</f>
        <v>Flushing Rem</v>
      </c>
      <c r="C301" s="7"/>
      <c r="D301" s="7"/>
    </row>
    <row r="302" customFormat="false" ht="15" hidden="false" customHeight="false" outlineLevel="0" collapsed="false">
      <c r="A302" s="6" t="str">
        <f aca="false">IF('DATA UNIT'!$B17="","",'DATA UNIT'!$B17)</f>
        <v>DP 8157 GZ</v>
      </c>
      <c r="B302" s="6" t="str">
        <f aca="false">IF($A302="","",INDEX(PlanningItemsList,1))</f>
        <v>PM Check / Reguler Services</v>
      </c>
      <c r="C302" s="7"/>
      <c r="D302" s="7"/>
    </row>
    <row r="303" customFormat="false" ht="15" hidden="false" customHeight="false" outlineLevel="0" collapsed="false">
      <c r="A303" s="6" t="str">
        <f aca="false">IF('DATA UNIT'!$B17="","",'DATA UNIT'!$B17)</f>
        <v>DP 8157 GZ</v>
      </c>
      <c r="B303" s="6" t="str">
        <f aca="false">IF($A303="","",INDEX(PlanningItemsList,2))</f>
        <v>Service A</v>
      </c>
      <c r="C303" s="7"/>
      <c r="D303" s="7"/>
    </row>
    <row r="304" customFormat="false" ht="15" hidden="false" customHeight="false" outlineLevel="0" collapsed="false">
      <c r="A304" s="6" t="str">
        <f aca="false">IF('DATA UNIT'!$B17="","",'DATA UNIT'!$B17)</f>
        <v>DP 8157 GZ</v>
      </c>
      <c r="B304" s="6" t="str">
        <f aca="false">IF($A304="","",INDEX(PlanningItemsList,3))</f>
        <v>Service B</v>
      </c>
      <c r="C304" s="7"/>
      <c r="D304" s="7"/>
    </row>
    <row r="305" customFormat="false" ht="15" hidden="false" customHeight="false" outlineLevel="0" collapsed="false">
      <c r="A305" s="6" t="str">
        <f aca="false">IF('DATA UNIT'!$B17="","",'DATA UNIT'!$B17)</f>
        <v>DP 8157 GZ</v>
      </c>
      <c r="B305" s="6" t="str">
        <f aca="false">IF($A305="","",INDEX(PlanningItemsList,4))</f>
        <v>Brake Pad</v>
      </c>
      <c r="C305" s="7"/>
      <c r="D305" s="7"/>
    </row>
    <row r="306" customFormat="false" ht="15" hidden="false" customHeight="false" outlineLevel="0" collapsed="false">
      <c r="A306" s="6" t="str">
        <f aca="false">IF('DATA UNIT'!$B17="","",'DATA UNIT'!$B17)</f>
        <v>DP 8157 GZ</v>
      </c>
      <c r="B306" s="6" t="str">
        <f aca="false">IF($A306="","",INDEX(PlanningItemsList,5))</f>
        <v>Brake Shoe</v>
      </c>
      <c r="C306" s="7"/>
      <c r="D306" s="7"/>
    </row>
    <row r="307" customFormat="false" ht="15" hidden="false" customHeight="false" outlineLevel="0" collapsed="false">
      <c r="A307" s="6" t="str">
        <f aca="false">IF('DATA UNIT'!$B17="","",'DATA UNIT'!$B17)</f>
        <v>DP 8157 GZ</v>
      </c>
      <c r="B307" s="6" t="str">
        <f aca="false">IF($A307="","",INDEX(PlanningItemsList,6))</f>
        <v>Accu</v>
      </c>
      <c r="C307" s="7"/>
      <c r="D307" s="7"/>
    </row>
    <row r="308" customFormat="false" ht="15" hidden="false" customHeight="false" outlineLevel="0" collapsed="false">
      <c r="A308" s="6" t="str">
        <f aca="false">IF('DATA UNIT'!$B17="","",'DATA UNIT'!$B17)</f>
        <v>DP 8157 GZ</v>
      </c>
      <c r="B308" s="6" t="str">
        <f aca="false">IF($A308="","",INDEX(PlanningItemsList,7))</f>
        <v>Kampas Kopling Set</v>
      </c>
      <c r="C308" s="7"/>
      <c r="D308" s="7"/>
    </row>
    <row r="309" customFormat="false" ht="15" hidden="false" customHeight="false" outlineLevel="0" collapsed="false">
      <c r="A309" s="6" t="str">
        <f aca="false">IF('DATA UNIT'!$B17="","",'DATA UNIT'!$B17)</f>
        <v>DP 8157 GZ</v>
      </c>
      <c r="B309" s="6" t="str">
        <f aca="false">IF($A309="","",INDEX(PlanningItemsList,8))</f>
        <v>Wiper Blade</v>
      </c>
      <c r="C309" s="7"/>
      <c r="D309" s="7"/>
    </row>
    <row r="310" customFormat="false" ht="15" hidden="false" customHeight="false" outlineLevel="0" collapsed="false">
      <c r="A310" s="6" t="str">
        <f aca="false">IF('DATA UNIT'!$B17="","",'DATA UNIT'!$B17)</f>
        <v>DP 8157 GZ</v>
      </c>
      <c r="B310" s="6" t="str">
        <f aca="false">IF($A310="","",INDEX(PlanningItemsList,9))</f>
        <v>Ban Depan</v>
      </c>
      <c r="C310" s="7"/>
      <c r="D310" s="7"/>
    </row>
    <row r="311" customFormat="false" ht="15" hidden="false" customHeight="false" outlineLevel="0" collapsed="false">
      <c r="A311" s="6" t="str">
        <f aca="false">IF('DATA UNIT'!$B17="","",'DATA UNIT'!$B17)</f>
        <v>DP 8157 GZ</v>
      </c>
      <c r="B311" s="6" t="str">
        <f aca="false">IF($A311="","",INDEX(PlanningItemsList,10))</f>
        <v>Ban Belakang</v>
      </c>
      <c r="C311" s="7"/>
      <c r="D311" s="7"/>
    </row>
    <row r="312" customFormat="false" ht="15" hidden="false" customHeight="false" outlineLevel="0" collapsed="false">
      <c r="A312" s="6" t="str">
        <f aca="false">IF('DATA UNIT'!$B17="","",'DATA UNIT'!$B17)</f>
        <v>DP 8157 GZ</v>
      </c>
      <c r="B312" s="6" t="str">
        <f aca="false">IF($A312="","",INDEX(PlanningItemsList,11))</f>
        <v>Ban Serep</v>
      </c>
      <c r="C312" s="7"/>
      <c r="D312" s="7"/>
    </row>
    <row r="313" customFormat="false" ht="15" hidden="false" customHeight="false" outlineLevel="0" collapsed="false">
      <c r="A313" s="6" t="str">
        <f aca="false">IF('DATA UNIT'!$B17="","",'DATA UNIT'!$B17)</f>
        <v>DP 8157 GZ</v>
      </c>
      <c r="B313" s="6" t="str">
        <f aca="false">IF($A313="","",INDEX(PlanningItemsList,12))</f>
        <v>Greasing</v>
      </c>
      <c r="C313" s="7"/>
      <c r="D313" s="7"/>
    </row>
    <row r="314" customFormat="false" ht="15" hidden="false" customHeight="false" outlineLevel="0" collapsed="false">
      <c r="A314" s="6" t="str">
        <f aca="false">IF('DATA UNIT'!$B17="","",'DATA UNIT'!$B17)</f>
        <v>DP 8157 GZ</v>
      </c>
      <c r="B314" s="6" t="str">
        <f aca="false">IF($A314="","",INDEX(PlanningItemsList,13))</f>
        <v>V-Belt</v>
      </c>
      <c r="C314" s="7"/>
      <c r="D314" s="7"/>
    </row>
    <row r="315" customFormat="false" ht="15" hidden="false" customHeight="false" outlineLevel="0" collapsed="false">
      <c r="A315" s="6" t="str">
        <f aca="false">IF('DATA UNIT'!$B17="","",'DATA UNIT'!$B17)</f>
        <v>DP 8157 GZ</v>
      </c>
      <c r="B315" s="6" t="str">
        <f aca="false">IF($A315="","",INDEX(PlanningItemsList,14))</f>
        <v>Sarung Jok</v>
      </c>
      <c r="C315" s="7"/>
      <c r="D315" s="7"/>
    </row>
    <row r="316" customFormat="false" ht="15" hidden="false" customHeight="false" outlineLevel="0" collapsed="false">
      <c r="A316" s="6" t="str">
        <f aca="false">IF('DATA UNIT'!$B17="","",'DATA UNIT'!$B17)</f>
        <v>DP 8157 GZ</v>
      </c>
      <c r="B316" s="6" t="str">
        <f aca="false">IF($A316="","",INDEX(PlanningItemsList,15))</f>
        <v>Karpet Karet</v>
      </c>
      <c r="C316" s="7"/>
      <c r="D316" s="7"/>
    </row>
    <row r="317" customFormat="false" ht="15" hidden="false" customHeight="false" outlineLevel="0" collapsed="false">
      <c r="A317" s="6" t="str">
        <f aca="false">IF('DATA UNIT'!$B17="","",'DATA UNIT'!$B17)</f>
        <v>DP 8157 GZ</v>
      </c>
      <c r="B317" s="6" t="str">
        <f aca="false">IF($A317="","",INDEX(PlanningItemsList,16))</f>
        <v>Karpet Dasar</v>
      </c>
      <c r="C317" s="7"/>
      <c r="D317" s="7"/>
    </row>
    <row r="318" customFormat="false" ht="15" hidden="false" customHeight="false" outlineLevel="0" collapsed="false">
      <c r="A318" s="6" t="str">
        <f aca="false">IF('DATA UNIT'!$B17="","",'DATA UNIT'!$B17)</f>
        <v>DP 8157 GZ</v>
      </c>
      <c r="B318" s="6" t="str">
        <f aca="false">IF($A318="","",INDEX(PlanningItemsList,17))</f>
        <v>Flushing Radiator</v>
      </c>
      <c r="C318" s="7"/>
      <c r="D318" s="7"/>
    </row>
    <row r="319" customFormat="false" ht="15" hidden="false" customHeight="false" outlineLevel="0" collapsed="false">
      <c r="A319" s="6" t="str">
        <f aca="false">IF('DATA UNIT'!$B17="","",'DATA UNIT'!$B17)</f>
        <v>DP 8157 GZ</v>
      </c>
      <c r="B319" s="6" t="str">
        <f aca="false">IF($A319="","",INDEX(PlanningItemsList,18))</f>
        <v>Flushing Steering</v>
      </c>
      <c r="C319" s="7"/>
      <c r="D319" s="7"/>
    </row>
    <row r="320" customFormat="false" ht="15" hidden="false" customHeight="false" outlineLevel="0" collapsed="false">
      <c r="A320" s="6" t="str">
        <f aca="false">IF('DATA UNIT'!$B17="","",'DATA UNIT'!$B17)</f>
        <v>DP 8157 GZ</v>
      </c>
      <c r="B320" s="6" t="str">
        <f aca="false">IF($A320="","",INDEX(PlanningItemsList,19))</f>
        <v>Flushing Injector</v>
      </c>
      <c r="C320" s="7"/>
      <c r="D320" s="7"/>
    </row>
    <row r="321" customFormat="false" ht="15" hidden="false" customHeight="false" outlineLevel="0" collapsed="false">
      <c r="A321" s="6" t="str">
        <f aca="false">IF('DATA UNIT'!$B17="","",'DATA UNIT'!$B17)</f>
        <v>DP 8157 GZ</v>
      </c>
      <c r="B321" s="6" t="str">
        <f aca="false">IF($A321="","",INDEX(PlanningItemsList,20))</f>
        <v>Flushing Rem</v>
      </c>
      <c r="C321" s="7"/>
      <c r="D321" s="7"/>
    </row>
    <row r="322" customFormat="false" ht="15" hidden="false" customHeight="false" outlineLevel="0" collapsed="false">
      <c r="A322" s="6" t="str">
        <f aca="false">IF('DATA UNIT'!$B18="","",'DATA UNIT'!$B18)</f>
        <v>DP 8158 GZ</v>
      </c>
      <c r="B322" s="6" t="str">
        <f aca="false">IF($A322="","",INDEX(PlanningItemsList,1))</f>
        <v>PM Check / Reguler Services</v>
      </c>
      <c r="C322" s="7"/>
      <c r="D322" s="7"/>
    </row>
    <row r="323" customFormat="false" ht="15" hidden="false" customHeight="false" outlineLevel="0" collapsed="false">
      <c r="A323" s="6" t="str">
        <f aca="false">IF('DATA UNIT'!$B18="","",'DATA UNIT'!$B18)</f>
        <v>DP 8158 GZ</v>
      </c>
      <c r="B323" s="6" t="str">
        <f aca="false">IF($A323="","",INDEX(PlanningItemsList,2))</f>
        <v>Service A</v>
      </c>
      <c r="C323" s="7"/>
      <c r="D323" s="7"/>
    </row>
    <row r="324" customFormat="false" ht="15" hidden="false" customHeight="false" outlineLevel="0" collapsed="false">
      <c r="A324" s="6" t="str">
        <f aca="false">IF('DATA UNIT'!$B18="","",'DATA UNIT'!$B18)</f>
        <v>DP 8158 GZ</v>
      </c>
      <c r="B324" s="6" t="str">
        <f aca="false">IF($A324="","",INDEX(PlanningItemsList,3))</f>
        <v>Service B</v>
      </c>
      <c r="C324" s="7"/>
      <c r="D324" s="7"/>
    </row>
    <row r="325" customFormat="false" ht="15" hidden="false" customHeight="false" outlineLevel="0" collapsed="false">
      <c r="A325" s="6" t="str">
        <f aca="false">IF('DATA UNIT'!$B18="","",'DATA UNIT'!$B18)</f>
        <v>DP 8158 GZ</v>
      </c>
      <c r="B325" s="6" t="str">
        <f aca="false">IF($A325="","",INDEX(PlanningItemsList,4))</f>
        <v>Brake Pad</v>
      </c>
      <c r="C325" s="7"/>
      <c r="D325" s="7"/>
    </row>
    <row r="326" customFormat="false" ht="15" hidden="false" customHeight="false" outlineLevel="0" collapsed="false">
      <c r="A326" s="6" t="str">
        <f aca="false">IF('DATA UNIT'!$B18="","",'DATA UNIT'!$B18)</f>
        <v>DP 8158 GZ</v>
      </c>
      <c r="B326" s="6" t="str">
        <f aca="false">IF($A326="","",INDEX(PlanningItemsList,5))</f>
        <v>Brake Shoe</v>
      </c>
      <c r="C326" s="7"/>
      <c r="D326" s="7"/>
    </row>
    <row r="327" customFormat="false" ht="15" hidden="false" customHeight="false" outlineLevel="0" collapsed="false">
      <c r="A327" s="6" t="str">
        <f aca="false">IF('DATA UNIT'!$B18="","",'DATA UNIT'!$B18)</f>
        <v>DP 8158 GZ</v>
      </c>
      <c r="B327" s="6" t="str">
        <f aca="false">IF($A327="","",INDEX(PlanningItemsList,6))</f>
        <v>Accu</v>
      </c>
      <c r="C327" s="7"/>
      <c r="D327" s="7"/>
    </row>
    <row r="328" customFormat="false" ht="15" hidden="false" customHeight="false" outlineLevel="0" collapsed="false">
      <c r="A328" s="6" t="str">
        <f aca="false">IF('DATA UNIT'!$B18="","",'DATA UNIT'!$B18)</f>
        <v>DP 8158 GZ</v>
      </c>
      <c r="B328" s="6" t="str">
        <f aca="false">IF($A328="","",INDEX(PlanningItemsList,7))</f>
        <v>Kampas Kopling Set</v>
      </c>
      <c r="C328" s="7"/>
      <c r="D328" s="7"/>
    </row>
    <row r="329" customFormat="false" ht="15" hidden="false" customHeight="false" outlineLevel="0" collapsed="false">
      <c r="A329" s="6" t="str">
        <f aca="false">IF('DATA UNIT'!$B18="","",'DATA UNIT'!$B18)</f>
        <v>DP 8158 GZ</v>
      </c>
      <c r="B329" s="6" t="str">
        <f aca="false">IF($A329="","",INDEX(PlanningItemsList,8))</f>
        <v>Wiper Blade</v>
      </c>
      <c r="C329" s="7"/>
      <c r="D329" s="7"/>
    </row>
    <row r="330" customFormat="false" ht="15" hidden="false" customHeight="false" outlineLevel="0" collapsed="false">
      <c r="A330" s="6" t="str">
        <f aca="false">IF('DATA UNIT'!$B18="","",'DATA UNIT'!$B18)</f>
        <v>DP 8158 GZ</v>
      </c>
      <c r="B330" s="6" t="str">
        <f aca="false">IF($A330="","",INDEX(PlanningItemsList,9))</f>
        <v>Ban Depan</v>
      </c>
      <c r="C330" s="7"/>
      <c r="D330" s="7"/>
    </row>
    <row r="331" customFormat="false" ht="15" hidden="false" customHeight="false" outlineLevel="0" collapsed="false">
      <c r="A331" s="6" t="str">
        <f aca="false">IF('DATA UNIT'!$B18="","",'DATA UNIT'!$B18)</f>
        <v>DP 8158 GZ</v>
      </c>
      <c r="B331" s="6" t="str">
        <f aca="false">IF($A331="","",INDEX(PlanningItemsList,10))</f>
        <v>Ban Belakang</v>
      </c>
      <c r="C331" s="7"/>
      <c r="D331" s="7"/>
    </row>
    <row r="332" customFormat="false" ht="15" hidden="false" customHeight="false" outlineLevel="0" collapsed="false">
      <c r="A332" s="6" t="str">
        <f aca="false">IF('DATA UNIT'!$B18="","",'DATA UNIT'!$B18)</f>
        <v>DP 8158 GZ</v>
      </c>
      <c r="B332" s="6" t="str">
        <f aca="false">IF($A332="","",INDEX(PlanningItemsList,11))</f>
        <v>Ban Serep</v>
      </c>
      <c r="C332" s="7"/>
      <c r="D332" s="7"/>
    </row>
    <row r="333" customFormat="false" ht="15" hidden="false" customHeight="false" outlineLevel="0" collapsed="false">
      <c r="A333" s="6" t="str">
        <f aca="false">IF('DATA UNIT'!$B18="","",'DATA UNIT'!$B18)</f>
        <v>DP 8158 GZ</v>
      </c>
      <c r="B333" s="6" t="str">
        <f aca="false">IF($A333="","",INDEX(PlanningItemsList,12))</f>
        <v>Greasing</v>
      </c>
      <c r="C333" s="7"/>
      <c r="D333" s="7"/>
    </row>
    <row r="334" customFormat="false" ht="15" hidden="false" customHeight="false" outlineLevel="0" collapsed="false">
      <c r="A334" s="6" t="str">
        <f aca="false">IF('DATA UNIT'!$B18="","",'DATA UNIT'!$B18)</f>
        <v>DP 8158 GZ</v>
      </c>
      <c r="B334" s="6" t="str">
        <f aca="false">IF($A334="","",INDEX(PlanningItemsList,13))</f>
        <v>V-Belt</v>
      </c>
      <c r="C334" s="7"/>
      <c r="D334" s="7"/>
    </row>
    <row r="335" customFormat="false" ht="15" hidden="false" customHeight="false" outlineLevel="0" collapsed="false">
      <c r="A335" s="6" t="str">
        <f aca="false">IF('DATA UNIT'!$B18="","",'DATA UNIT'!$B18)</f>
        <v>DP 8158 GZ</v>
      </c>
      <c r="B335" s="6" t="str">
        <f aca="false">IF($A335="","",INDEX(PlanningItemsList,14))</f>
        <v>Sarung Jok</v>
      </c>
      <c r="C335" s="7"/>
      <c r="D335" s="7"/>
    </row>
    <row r="336" customFormat="false" ht="15" hidden="false" customHeight="false" outlineLevel="0" collapsed="false">
      <c r="A336" s="6" t="str">
        <f aca="false">IF('DATA UNIT'!$B18="","",'DATA UNIT'!$B18)</f>
        <v>DP 8158 GZ</v>
      </c>
      <c r="B336" s="6" t="str">
        <f aca="false">IF($A336="","",INDEX(PlanningItemsList,15))</f>
        <v>Karpet Karet</v>
      </c>
      <c r="C336" s="7"/>
      <c r="D336" s="7"/>
    </row>
    <row r="337" customFormat="false" ht="15" hidden="false" customHeight="false" outlineLevel="0" collapsed="false">
      <c r="A337" s="6" t="str">
        <f aca="false">IF('DATA UNIT'!$B18="","",'DATA UNIT'!$B18)</f>
        <v>DP 8158 GZ</v>
      </c>
      <c r="B337" s="6" t="str">
        <f aca="false">IF($A337="","",INDEX(PlanningItemsList,16))</f>
        <v>Karpet Dasar</v>
      </c>
      <c r="C337" s="7"/>
      <c r="D337" s="7"/>
    </row>
    <row r="338" customFormat="false" ht="15" hidden="false" customHeight="false" outlineLevel="0" collapsed="false">
      <c r="A338" s="6" t="str">
        <f aca="false">IF('DATA UNIT'!$B18="","",'DATA UNIT'!$B18)</f>
        <v>DP 8158 GZ</v>
      </c>
      <c r="B338" s="6" t="str">
        <f aca="false">IF($A338="","",INDEX(PlanningItemsList,17))</f>
        <v>Flushing Radiator</v>
      </c>
      <c r="C338" s="7"/>
      <c r="D338" s="7"/>
    </row>
    <row r="339" customFormat="false" ht="15" hidden="false" customHeight="false" outlineLevel="0" collapsed="false">
      <c r="A339" s="6" t="str">
        <f aca="false">IF('DATA UNIT'!$B18="","",'DATA UNIT'!$B18)</f>
        <v>DP 8158 GZ</v>
      </c>
      <c r="B339" s="6" t="str">
        <f aca="false">IF($A339="","",INDEX(PlanningItemsList,18))</f>
        <v>Flushing Steering</v>
      </c>
      <c r="C339" s="7"/>
      <c r="D339" s="7"/>
    </row>
    <row r="340" customFormat="false" ht="15" hidden="false" customHeight="false" outlineLevel="0" collapsed="false">
      <c r="A340" s="6" t="str">
        <f aca="false">IF('DATA UNIT'!$B18="","",'DATA UNIT'!$B18)</f>
        <v>DP 8158 GZ</v>
      </c>
      <c r="B340" s="6" t="str">
        <f aca="false">IF($A340="","",INDEX(PlanningItemsList,19))</f>
        <v>Flushing Injector</v>
      </c>
      <c r="C340" s="7"/>
      <c r="D340" s="7"/>
    </row>
    <row r="341" customFormat="false" ht="15" hidden="false" customHeight="false" outlineLevel="0" collapsed="false">
      <c r="A341" s="6" t="str">
        <f aca="false">IF('DATA UNIT'!$B18="","",'DATA UNIT'!$B18)</f>
        <v>DP 8158 GZ</v>
      </c>
      <c r="B341" s="6" t="str">
        <f aca="false">IF($A341="","",INDEX(PlanningItemsList,20))</f>
        <v>Flushing Rem</v>
      </c>
      <c r="C341" s="7"/>
      <c r="D341" s="7"/>
    </row>
    <row r="342" customFormat="false" ht="15" hidden="false" customHeight="false" outlineLevel="0" collapsed="false">
      <c r="A342" s="6" t="str">
        <f aca="false">IF('DATA UNIT'!$B19="","",'DATA UNIT'!$B19)</f>
        <v>DP 8183 GZ</v>
      </c>
      <c r="B342" s="6" t="str">
        <f aca="false">IF($A342="","",INDEX(PlanningItemsList,1))</f>
        <v>PM Check / Reguler Services</v>
      </c>
      <c r="C342" s="7"/>
      <c r="D342" s="7"/>
    </row>
    <row r="343" customFormat="false" ht="15" hidden="false" customHeight="false" outlineLevel="0" collapsed="false">
      <c r="A343" s="6" t="str">
        <f aca="false">IF('DATA UNIT'!$B19="","",'DATA UNIT'!$B19)</f>
        <v>DP 8183 GZ</v>
      </c>
      <c r="B343" s="6" t="str">
        <f aca="false">IF($A343="","",INDEX(PlanningItemsList,2))</f>
        <v>Service A</v>
      </c>
      <c r="C343" s="7"/>
      <c r="D343" s="7"/>
    </row>
    <row r="344" customFormat="false" ht="15" hidden="false" customHeight="false" outlineLevel="0" collapsed="false">
      <c r="A344" s="6" t="str">
        <f aca="false">IF('DATA UNIT'!$B19="","",'DATA UNIT'!$B19)</f>
        <v>DP 8183 GZ</v>
      </c>
      <c r="B344" s="6" t="str">
        <f aca="false">IF($A344="","",INDEX(PlanningItemsList,3))</f>
        <v>Service B</v>
      </c>
      <c r="C344" s="7"/>
      <c r="D344" s="7"/>
    </row>
    <row r="345" customFormat="false" ht="15" hidden="false" customHeight="false" outlineLevel="0" collapsed="false">
      <c r="A345" s="6" t="str">
        <f aca="false">IF('DATA UNIT'!$B19="","",'DATA UNIT'!$B19)</f>
        <v>DP 8183 GZ</v>
      </c>
      <c r="B345" s="6" t="str">
        <f aca="false">IF($A345="","",INDEX(PlanningItemsList,4))</f>
        <v>Brake Pad</v>
      </c>
      <c r="C345" s="7"/>
      <c r="D345" s="7"/>
    </row>
    <row r="346" customFormat="false" ht="15" hidden="false" customHeight="false" outlineLevel="0" collapsed="false">
      <c r="A346" s="6" t="str">
        <f aca="false">IF('DATA UNIT'!$B19="","",'DATA UNIT'!$B19)</f>
        <v>DP 8183 GZ</v>
      </c>
      <c r="B346" s="6" t="str">
        <f aca="false">IF($A346="","",INDEX(PlanningItemsList,5))</f>
        <v>Brake Shoe</v>
      </c>
      <c r="C346" s="7"/>
      <c r="D346" s="7"/>
    </row>
    <row r="347" customFormat="false" ht="15" hidden="false" customHeight="false" outlineLevel="0" collapsed="false">
      <c r="A347" s="6" t="str">
        <f aca="false">IF('DATA UNIT'!$B19="","",'DATA UNIT'!$B19)</f>
        <v>DP 8183 GZ</v>
      </c>
      <c r="B347" s="6" t="str">
        <f aca="false">IF($A347="","",INDEX(PlanningItemsList,6))</f>
        <v>Accu</v>
      </c>
      <c r="C347" s="7"/>
      <c r="D347" s="7"/>
    </row>
    <row r="348" customFormat="false" ht="15" hidden="false" customHeight="false" outlineLevel="0" collapsed="false">
      <c r="A348" s="6" t="str">
        <f aca="false">IF('DATA UNIT'!$B19="","",'DATA UNIT'!$B19)</f>
        <v>DP 8183 GZ</v>
      </c>
      <c r="B348" s="6" t="str">
        <f aca="false">IF($A348="","",INDEX(PlanningItemsList,7))</f>
        <v>Kampas Kopling Set</v>
      </c>
      <c r="C348" s="7"/>
      <c r="D348" s="7"/>
    </row>
    <row r="349" customFormat="false" ht="15" hidden="false" customHeight="false" outlineLevel="0" collapsed="false">
      <c r="A349" s="6" t="str">
        <f aca="false">IF('DATA UNIT'!$B19="","",'DATA UNIT'!$B19)</f>
        <v>DP 8183 GZ</v>
      </c>
      <c r="B349" s="6" t="str">
        <f aca="false">IF($A349="","",INDEX(PlanningItemsList,8))</f>
        <v>Wiper Blade</v>
      </c>
      <c r="C349" s="7"/>
      <c r="D349" s="7"/>
    </row>
    <row r="350" customFormat="false" ht="15" hidden="false" customHeight="false" outlineLevel="0" collapsed="false">
      <c r="A350" s="6" t="str">
        <f aca="false">IF('DATA UNIT'!$B19="","",'DATA UNIT'!$B19)</f>
        <v>DP 8183 GZ</v>
      </c>
      <c r="B350" s="6" t="str">
        <f aca="false">IF($A350="","",INDEX(PlanningItemsList,9))</f>
        <v>Ban Depan</v>
      </c>
      <c r="C350" s="7"/>
      <c r="D350" s="7"/>
    </row>
    <row r="351" customFormat="false" ht="15" hidden="false" customHeight="false" outlineLevel="0" collapsed="false">
      <c r="A351" s="6" t="str">
        <f aca="false">IF('DATA UNIT'!$B19="","",'DATA UNIT'!$B19)</f>
        <v>DP 8183 GZ</v>
      </c>
      <c r="B351" s="6" t="str">
        <f aca="false">IF($A351="","",INDEX(PlanningItemsList,10))</f>
        <v>Ban Belakang</v>
      </c>
      <c r="C351" s="7"/>
      <c r="D351" s="7"/>
    </row>
    <row r="352" customFormat="false" ht="15" hidden="false" customHeight="false" outlineLevel="0" collapsed="false">
      <c r="A352" s="6" t="str">
        <f aca="false">IF('DATA UNIT'!$B19="","",'DATA UNIT'!$B19)</f>
        <v>DP 8183 GZ</v>
      </c>
      <c r="B352" s="6" t="str">
        <f aca="false">IF($A352="","",INDEX(PlanningItemsList,11))</f>
        <v>Ban Serep</v>
      </c>
      <c r="C352" s="7"/>
      <c r="D352" s="7"/>
    </row>
    <row r="353" customFormat="false" ht="15" hidden="false" customHeight="false" outlineLevel="0" collapsed="false">
      <c r="A353" s="6" t="str">
        <f aca="false">IF('DATA UNIT'!$B19="","",'DATA UNIT'!$B19)</f>
        <v>DP 8183 GZ</v>
      </c>
      <c r="B353" s="6" t="str">
        <f aca="false">IF($A353="","",INDEX(PlanningItemsList,12))</f>
        <v>Greasing</v>
      </c>
      <c r="C353" s="7"/>
      <c r="D353" s="7"/>
    </row>
    <row r="354" customFormat="false" ht="15" hidden="false" customHeight="false" outlineLevel="0" collapsed="false">
      <c r="A354" s="6" t="str">
        <f aca="false">IF('DATA UNIT'!$B19="","",'DATA UNIT'!$B19)</f>
        <v>DP 8183 GZ</v>
      </c>
      <c r="B354" s="6" t="str">
        <f aca="false">IF($A354="","",INDEX(PlanningItemsList,13))</f>
        <v>V-Belt</v>
      </c>
      <c r="C354" s="7"/>
      <c r="D354" s="7"/>
    </row>
    <row r="355" customFormat="false" ht="15" hidden="false" customHeight="false" outlineLevel="0" collapsed="false">
      <c r="A355" s="6" t="str">
        <f aca="false">IF('DATA UNIT'!$B19="","",'DATA UNIT'!$B19)</f>
        <v>DP 8183 GZ</v>
      </c>
      <c r="B355" s="6" t="str">
        <f aca="false">IF($A355="","",INDEX(PlanningItemsList,14))</f>
        <v>Sarung Jok</v>
      </c>
      <c r="C355" s="7"/>
      <c r="D355" s="7"/>
    </row>
    <row r="356" customFormat="false" ht="15" hidden="false" customHeight="false" outlineLevel="0" collapsed="false">
      <c r="A356" s="6" t="str">
        <f aca="false">IF('DATA UNIT'!$B19="","",'DATA UNIT'!$B19)</f>
        <v>DP 8183 GZ</v>
      </c>
      <c r="B356" s="6" t="str">
        <f aca="false">IF($A356="","",INDEX(PlanningItemsList,15))</f>
        <v>Karpet Karet</v>
      </c>
      <c r="C356" s="7"/>
      <c r="D356" s="7"/>
    </row>
    <row r="357" customFormat="false" ht="15" hidden="false" customHeight="false" outlineLevel="0" collapsed="false">
      <c r="A357" s="6" t="str">
        <f aca="false">IF('DATA UNIT'!$B19="","",'DATA UNIT'!$B19)</f>
        <v>DP 8183 GZ</v>
      </c>
      <c r="B357" s="6" t="str">
        <f aca="false">IF($A357="","",INDEX(PlanningItemsList,16))</f>
        <v>Karpet Dasar</v>
      </c>
      <c r="C357" s="7"/>
      <c r="D357" s="7"/>
    </row>
    <row r="358" customFormat="false" ht="15" hidden="false" customHeight="false" outlineLevel="0" collapsed="false">
      <c r="A358" s="6" t="str">
        <f aca="false">IF('DATA UNIT'!$B19="","",'DATA UNIT'!$B19)</f>
        <v>DP 8183 GZ</v>
      </c>
      <c r="B358" s="6" t="str">
        <f aca="false">IF($A358="","",INDEX(PlanningItemsList,17))</f>
        <v>Flushing Radiator</v>
      </c>
      <c r="C358" s="7"/>
      <c r="D358" s="7"/>
    </row>
    <row r="359" customFormat="false" ht="15" hidden="false" customHeight="false" outlineLevel="0" collapsed="false">
      <c r="A359" s="6" t="str">
        <f aca="false">IF('DATA UNIT'!$B19="","",'DATA UNIT'!$B19)</f>
        <v>DP 8183 GZ</v>
      </c>
      <c r="B359" s="6" t="str">
        <f aca="false">IF($A359="","",INDEX(PlanningItemsList,18))</f>
        <v>Flushing Steering</v>
      </c>
      <c r="C359" s="7"/>
      <c r="D359" s="7"/>
    </row>
    <row r="360" customFormat="false" ht="15" hidden="false" customHeight="false" outlineLevel="0" collapsed="false">
      <c r="A360" s="6" t="str">
        <f aca="false">IF('DATA UNIT'!$B19="","",'DATA UNIT'!$B19)</f>
        <v>DP 8183 GZ</v>
      </c>
      <c r="B360" s="6" t="str">
        <f aca="false">IF($A360="","",INDEX(PlanningItemsList,19))</f>
        <v>Flushing Injector</v>
      </c>
      <c r="C360" s="7"/>
      <c r="D360" s="7"/>
    </row>
    <row r="361" customFormat="false" ht="15" hidden="false" customHeight="false" outlineLevel="0" collapsed="false">
      <c r="A361" s="6" t="str">
        <f aca="false">IF('DATA UNIT'!$B19="","",'DATA UNIT'!$B19)</f>
        <v>DP 8183 GZ</v>
      </c>
      <c r="B361" s="6" t="str">
        <f aca="false">IF($A361="","",INDEX(PlanningItemsList,20))</f>
        <v>Flushing Rem</v>
      </c>
      <c r="C361" s="7"/>
      <c r="D361" s="7"/>
    </row>
    <row r="362" customFormat="false" ht="15" hidden="false" customHeight="false" outlineLevel="0" collapsed="false">
      <c r="A362" s="6" t="str">
        <f aca="false">IF('DATA UNIT'!$B20="","",'DATA UNIT'!$B20)</f>
        <v>DP 8180 GZ</v>
      </c>
      <c r="B362" s="6" t="str">
        <f aca="false">IF($A362="","",INDEX(PlanningItemsList,1))</f>
        <v>PM Check / Reguler Services</v>
      </c>
      <c r="C362" s="7"/>
      <c r="D362" s="7"/>
    </row>
    <row r="363" customFormat="false" ht="15" hidden="false" customHeight="false" outlineLevel="0" collapsed="false">
      <c r="A363" s="6" t="str">
        <f aca="false">IF('DATA UNIT'!$B20="","",'DATA UNIT'!$B20)</f>
        <v>DP 8180 GZ</v>
      </c>
      <c r="B363" s="6" t="str">
        <f aca="false">IF($A363="","",INDEX(PlanningItemsList,2))</f>
        <v>Service A</v>
      </c>
      <c r="C363" s="7"/>
      <c r="D363" s="7"/>
    </row>
    <row r="364" customFormat="false" ht="15" hidden="false" customHeight="false" outlineLevel="0" collapsed="false">
      <c r="A364" s="6" t="str">
        <f aca="false">IF('DATA UNIT'!$B20="","",'DATA UNIT'!$B20)</f>
        <v>DP 8180 GZ</v>
      </c>
      <c r="B364" s="6" t="str">
        <f aca="false">IF($A364="","",INDEX(PlanningItemsList,3))</f>
        <v>Service B</v>
      </c>
      <c r="C364" s="7"/>
      <c r="D364" s="7"/>
    </row>
    <row r="365" customFormat="false" ht="15" hidden="false" customHeight="false" outlineLevel="0" collapsed="false">
      <c r="A365" s="6" t="str">
        <f aca="false">IF('DATA UNIT'!$B20="","",'DATA UNIT'!$B20)</f>
        <v>DP 8180 GZ</v>
      </c>
      <c r="B365" s="6" t="str">
        <f aca="false">IF($A365="","",INDEX(PlanningItemsList,4))</f>
        <v>Brake Pad</v>
      </c>
      <c r="C365" s="7"/>
      <c r="D365" s="7"/>
    </row>
    <row r="366" customFormat="false" ht="15" hidden="false" customHeight="false" outlineLevel="0" collapsed="false">
      <c r="A366" s="6" t="str">
        <f aca="false">IF('DATA UNIT'!$B20="","",'DATA UNIT'!$B20)</f>
        <v>DP 8180 GZ</v>
      </c>
      <c r="B366" s="6" t="str">
        <f aca="false">IF($A366="","",INDEX(PlanningItemsList,5))</f>
        <v>Brake Shoe</v>
      </c>
      <c r="C366" s="7"/>
      <c r="D366" s="7"/>
    </row>
    <row r="367" customFormat="false" ht="15" hidden="false" customHeight="false" outlineLevel="0" collapsed="false">
      <c r="A367" s="6" t="str">
        <f aca="false">IF('DATA UNIT'!$B20="","",'DATA UNIT'!$B20)</f>
        <v>DP 8180 GZ</v>
      </c>
      <c r="B367" s="6" t="str">
        <f aca="false">IF($A367="","",INDEX(PlanningItemsList,6))</f>
        <v>Accu</v>
      </c>
      <c r="C367" s="7"/>
      <c r="D367" s="7"/>
    </row>
    <row r="368" customFormat="false" ht="15" hidden="false" customHeight="false" outlineLevel="0" collapsed="false">
      <c r="A368" s="6" t="str">
        <f aca="false">IF('DATA UNIT'!$B20="","",'DATA UNIT'!$B20)</f>
        <v>DP 8180 GZ</v>
      </c>
      <c r="B368" s="6" t="str">
        <f aca="false">IF($A368="","",INDEX(PlanningItemsList,7))</f>
        <v>Kampas Kopling Set</v>
      </c>
      <c r="C368" s="7"/>
      <c r="D368" s="7"/>
    </row>
    <row r="369" customFormat="false" ht="15" hidden="false" customHeight="false" outlineLevel="0" collapsed="false">
      <c r="A369" s="6" t="str">
        <f aca="false">IF('DATA UNIT'!$B20="","",'DATA UNIT'!$B20)</f>
        <v>DP 8180 GZ</v>
      </c>
      <c r="B369" s="6" t="str">
        <f aca="false">IF($A369="","",INDEX(PlanningItemsList,8))</f>
        <v>Wiper Blade</v>
      </c>
      <c r="C369" s="7"/>
      <c r="D369" s="7"/>
    </row>
    <row r="370" customFormat="false" ht="15" hidden="false" customHeight="false" outlineLevel="0" collapsed="false">
      <c r="A370" s="6" t="str">
        <f aca="false">IF('DATA UNIT'!$B20="","",'DATA UNIT'!$B20)</f>
        <v>DP 8180 GZ</v>
      </c>
      <c r="B370" s="6" t="str">
        <f aca="false">IF($A370="","",INDEX(PlanningItemsList,9))</f>
        <v>Ban Depan</v>
      </c>
      <c r="C370" s="7"/>
      <c r="D370" s="7"/>
    </row>
    <row r="371" customFormat="false" ht="15" hidden="false" customHeight="false" outlineLevel="0" collapsed="false">
      <c r="A371" s="6" t="str">
        <f aca="false">IF('DATA UNIT'!$B20="","",'DATA UNIT'!$B20)</f>
        <v>DP 8180 GZ</v>
      </c>
      <c r="B371" s="6" t="str">
        <f aca="false">IF($A371="","",INDEX(PlanningItemsList,10))</f>
        <v>Ban Belakang</v>
      </c>
      <c r="C371" s="7"/>
      <c r="D371" s="7"/>
    </row>
    <row r="372" customFormat="false" ht="15" hidden="false" customHeight="false" outlineLevel="0" collapsed="false">
      <c r="A372" s="6" t="str">
        <f aca="false">IF('DATA UNIT'!$B20="","",'DATA UNIT'!$B20)</f>
        <v>DP 8180 GZ</v>
      </c>
      <c r="B372" s="6" t="str">
        <f aca="false">IF($A372="","",INDEX(PlanningItemsList,11))</f>
        <v>Ban Serep</v>
      </c>
      <c r="C372" s="7"/>
      <c r="D372" s="7"/>
    </row>
    <row r="373" customFormat="false" ht="15" hidden="false" customHeight="false" outlineLevel="0" collapsed="false">
      <c r="A373" s="6" t="str">
        <f aca="false">IF('DATA UNIT'!$B20="","",'DATA UNIT'!$B20)</f>
        <v>DP 8180 GZ</v>
      </c>
      <c r="B373" s="6" t="str">
        <f aca="false">IF($A373="","",INDEX(PlanningItemsList,12))</f>
        <v>Greasing</v>
      </c>
      <c r="C373" s="7"/>
      <c r="D373" s="7"/>
    </row>
    <row r="374" customFormat="false" ht="15" hidden="false" customHeight="false" outlineLevel="0" collapsed="false">
      <c r="A374" s="6" t="str">
        <f aca="false">IF('DATA UNIT'!$B20="","",'DATA UNIT'!$B20)</f>
        <v>DP 8180 GZ</v>
      </c>
      <c r="B374" s="6" t="str">
        <f aca="false">IF($A374="","",INDEX(PlanningItemsList,13))</f>
        <v>V-Belt</v>
      </c>
      <c r="C374" s="7"/>
      <c r="D374" s="7"/>
    </row>
    <row r="375" customFormat="false" ht="15" hidden="false" customHeight="false" outlineLevel="0" collapsed="false">
      <c r="A375" s="6" t="str">
        <f aca="false">IF('DATA UNIT'!$B20="","",'DATA UNIT'!$B20)</f>
        <v>DP 8180 GZ</v>
      </c>
      <c r="B375" s="6" t="str">
        <f aca="false">IF($A375="","",INDEX(PlanningItemsList,14))</f>
        <v>Sarung Jok</v>
      </c>
      <c r="C375" s="7"/>
      <c r="D375" s="7"/>
    </row>
    <row r="376" customFormat="false" ht="15" hidden="false" customHeight="false" outlineLevel="0" collapsed="false">
      <c r="A376" s="6" t="str">
        <f aca="false">IF('DATA UNIT'!$B20="","",'DATA UNIT'!$B20)</f>
        <v>DP 8180 GZ</v>
      </c>
      <c r="B376" s="6" t="str">
        <f aca="false">IF($A376="","",INDEX(PlanningItemsList,15))</f>
        <v>Karpet Karet</v>
      </c>
      <c r="C376" s="7"/>
      <c r="D376" s="7"/>
    </row>
    <row r="377" customFormat="false" ht="15" hidden="false" customHeight="false" outlineLevel="0" collapsed="false">
      <c r="A377" s="6" t="str">
        <f aca="false">IF('DATA UNIT'!$B20="","",'DATA UNIT'!$B20)</f>
        <v>DP 8180 GZ</v>
      </c>
      <c r="B377" s="6" t="str">
        <f aca="false">IF($A377="","",INDEX(PlanningItemsList,16))</f>
        <v>Karpet Dasar</v>
      </c>
      <c r="C377" s="7"/>
      <c r="D377" s="7"/>
    </row>
    <row r="378" customFormat="false" ht="15" hidden="false" customHeight="false" outlineLevel="0" collapsed="false">
      <c r="A378" s="6" t="str">
        <f aca="false">IF('DATA UNIT'!$B20="","",'DATA UNIT'!$B20)</f>
        <v>DP 8180 GZ</v>
      </c>
      <c r="B378" s="6" t="str">
        <f aca="false">IF($A378="","",INDEX(PlanningItemsList,17))</f>
        <v>Flushing Radiator</v>
      </c>
      <c r="C378" s="7"/>
      <c r="D378" s="7"/>
    </row>
    <row r="379" customFormat="false" ht="15" hidden="false" customHeight="false" outlineLevel="0" collapsed="false">
      <c r="A379" s="6" t="str">
        <f aca="false">IF('DATA UNIT'!$B20="","",'DATA UNIT'!$B20)</f>
        <v>DP 8180 GZ</v>
      </c>
      <c r="B379" s="6" t="str">
        <f aca="false">IF($A379="","",INDEX(PlanningItemsList,18))</f>
        <v>Flushing Steering</v>
      </c>
      <c r="C379" s="7"/>
      <c r="D379" s="7"/>
    </row>
    <row r="380" customFormat="false" ht="15" hidden="false" customHeight="false" outlineLevel="0" collapsed="false">
      <c r="A380" s="6" t="str">
        <f aca="false">IF('DATA UNIT'!$B20="","",'DATA UNIT'!$B20)</f>
        <v>DP 8180 GZ</v>
      </c>
      <c r="B380" s="6" t="str">
        <f aca="false">IF($A380="","",INDEX(PlanningItemsList,19))</f>
        <v>Flushing Injector</v>
      </c>
      <c r="C380" s="7"/>
      <c r="D380" s="7"/>
    </row>
    <row r="381" customFormat="false" ht="15" hidden="false" customHeight="false" outlineLevel="0" collapsed="false">
      <c r="A381" s="6" t="str">
        <f aca="false">IF('DATA UNIT'!$B20="","",'DATA UNIT'!$B20)</f>
        <v>DP 8180 GZ</v>
      </c>
      <c r="B381" s="6" t="str">
        <f aca="false">IF($A381="","",INDEX(PlanningItemsList,20))</f>
        <v>Flushing Rem</v>
      </c>
      <c r="C381" s="7"/>
      <c r="D381" s="7"/>
    </row>
    <row r="382" customFormat="false" ht="15" hidden="false" customHeight="false" outlineLevel="0" collapsed="false">
      <c r="A382" s="6" t="str">
        <f aca="false">IF('DATA UNIT'!$B21="","",'DATA UNIT'!$B21)</f>
        <v>DP 8207 GZ</v>
      </c>
      <c r="B382" s="6" t="str">
        <f aca="false">IF($A382="","",INDEX(PlanningItemsList,1))</f>
        <v>PM Check / Reguler Services</v>
      </c>
      <c r="C382" s="7"/>
      <c r="D382" s="7"/>
    </row>
    <row r="383" customFormat="false" ht="15" hidden="false" customHeight="false" outlineLevel="0" collapsed="false">
      <c r="A383" s="6" t="str">
        <f aca="false">IF('DATA UNIT'!$B21="","",'DATA UNIT'!$B21)</f>
        <v>DP 8207 GZ</v>
      </c>
      <c r="B383" s="6" t="str">
        <f aca="false">IF($A383="","",INDEX(PlanningItemsList,2))</f>
        <v>Service A</v>
      </c>
      <c r="C383" s="7"/>
      <c r="D383" s="7"/>
    </row>
    <row r="384" customFormat="false" ht="15" hidden="false" customHeight="false" outlineLevel="0" collapsed="false">
      <c r="A384" s="6" t="str">
        <f aca="false">IF('DATA UNIT'!$B21="","",'DATA UNIT'!$B21)</f>
        <v>DP 8207 GZ</v>
      </c>
      <c r="B384" s="6" t="str">
        <f aca="false">IF($A384="","",INDEX(PlanningItemsList,3))</f>
        <v>Service B</v>
      </c>
      <c r="C384" s="7"/>
      <c r="D384" s="7"/>
    </row>
    <row r="385" customFormat="false" ht="15" hidden="false" customHeight="false" outlineLevel="0" collapsed="false">
      <c r="A385" s="6" t="str">
        <f aca="false">IF('DATA UNIT'!$B21="","",'DATA UNIT'!$B21)</f>
        <v>DP 8207 GZ</v>
      </c>
      <c r="B385" s="6" t="str">
        <f aca="false">IF($A385="","",INDEX(PlanningItemsList,4))</f>
        <v>Brake Pad</v>
      </c>
      <c r="C385" s="7"/>
      <c r="D385" s="7"/>
    </row>
    <row r="386" customFormat="false" ht="15" hidden="false" customHeight="false" outlineLevel="0" collapsed="false">
      <c r="A386" s="6" t="str">
        <f aca="false">IF('DATA UNIT'!$B21="","",'DATA UNIT'!$B21)</f>
        <v>DP 8207 GZ</v>
      </c>
      <c r="B386" s="6" t="str">
        <f aca="false">IF($A386="","",INDEX(PlanningItemsList,5))</f>
        <v>Brake Shoe</v>
      </c>
      <c r="C386" s="7"/>
      <c r="D386" s="7"/>
    </row>
    <row r="387" customFormat="false" ht="15" hidden="false" customHeight="false" outlineLevel="0" collapsed="false">
      <c r="A387" s="6" t="str">
        <f aca="false">IF('DATA UNIT'!$B21="","",'DATA UNIT'!$B21)</f>
        <v>DP 8207 GZ</v>
      </c>
      <c r="B387" s="6" t="str">
        <f aca="false">IF($A387="","",INDEX(PlanningItemsList,6))</f>
        <v>Accu</v>
      </c>
      <c r="C387" s="7"/>
      <c r="D387" s="7"/>
    </row>
    <row r="388" customFormat="false" ht="15" hidden="false" customHeight="false" outlineLevel="0" collapsed="false">
      <c r="A388" s="6" t="str">
        <f aca="false">IF('DATA UNIT'!$B21="","",'DATA UNIT'!$B21)</f>
        <v>DP 8207 GZ</v>
      </c>
      <c r="B388" s="6" t="str">
        <f aca="false">IF($A388="","",INDEX(PlanningItemsList,7))</f>
        <v>Kampas Kopling Set</v>
      </c>
      <c r="C388" s="7"/>
      <c r="D388" s="7"/>
    </row>
    <row r="389" customFormat="false" ht="15" hidden="false" customHeight="false" outlineLevel="0" collapsed="false">
      <c r="A389" s="6" t="str">
        <f aca="false">IF('DATA UNIT'!$B21="","",'DATA UNIT'!$B21)</f>
        <v>DP 8207 GZ</v>
      </c>
      <c r="B389" s="6" t="str">
        <f aca="false">IF($A389="","",INDEX(PlanningItemsList,8))</f>
        <v>Wiper Blade</v>
      </c>
      <c r="C389" s="7"/>
      <c r="D389" s="7"/>
    </row>
    <row r="390" customFormat="false" ht="15" hidden="false" customHeight="false" outlineLevel="0" collapsed="false">
      <c r="A390" s="6" t="str">
        <f aca="false">IF('DATA UNIT'!$B21="","",'DATA UNIT'!$B21)</f>
        <v>DP 8207 GZ</v>
      </c>
      <c r="B390" s="6" t="str">
        <f aca="false">IF($A390="","",INDEX(PlanningItemsList,9))</f>
        <v>Ban Depan</v>
      </c>
      <c r="C390" s="7"/>
      <c r="D390" s="7"/>
    </row>
    <row r="391" customFormat="false" ht="15" hidden="false" customHeight="false" outlineLevel="0" collapsed="false">
      <c r="A391" s="6" t="str">
        <f aca="false">IF('DATA UNIT'!$B21="","",'DATA UNIT'!$B21)</f>
        <v>DP 8207 GZ</v>
      </c>
      <c r="B391" s="6" t="str">
        <f aca="false">IF($A391="","",INDEX(PlanningItemsList,10))</f>
        <v>Ban Belakang</v>
      </c>
      <c r="C391" s="7"/>
      <c r="D391" s="7"/>
    </row>
    <row r="392" customFormat="false" ht="15" hidden="false" customHeight="false" outlineLevel="0" collapsed="false">
      <c r="A392" s="6" t="str">
        <f aca="false">IF('DATA UNIT'!$B21="","",'DATA UNIT'!$B21)</f>
        <v>DP 8207 GZ</v>
      </c>
      <c r="B392" s="6" t="str">
        <f aca="false">IF($A392="","",INDEX(PlanningItemsList,11))</f>
        <v>Ban Serep</v>
      </c>
      <c r="C392" s="7"/>
      <c r="D392" s="7"/>
    </row>
    <row r="393" customFormat="false" ht="15" hidden="false" customHeight="false" outlineLevel="0" collapsed="false">
      <c r="A393" s="6" t="str">
        <f aca="false">IF('DATA UNIT'!$B21="","",'DATA UNIT'!$B21)</f>
        <v>DP 8207 GZ</v>
      </c>
      <c r="B393" s="6" t="str">
        <f aca="false">IF($A393="","",INDEX(PlanningItemsList,12))</f>
        <v>Greasing</v>
      </c>
      <c r="C393" s="7"/>
      <c r="D393" s="7"/>
    </row>
    <row r="394" customFormat="false" ht="15" hidden="false" customHeight="false" outlineLevel="0" collapsed="false">
      <c r="A394" s="6" t="str">
        <f aca="false">IF('DATA UNIT'!$B21="","",'DATA UNIT'!$B21)</f>
        <v>DP 8207 GZ</v>
      </c>
      <c r="B394" s="6" t="str">
        <f aca="false">IF($A394="","",INDEX(PlanningItemsList,13))</f>
        <v>V-Belt</v>
      </c>
      <c r="C394" s="7"/>
      <c r="D394" s="7"/>
    </row>
    <row r="395" customFormat="false" ht="15" hidden="false" customHeight="false" outlineLevel="0" collapsed="false">
      <c r="A395" s="6" t="str">
        <f aca="false">IF('DATA UNIT'!$B21="","",'DATA UNIT'!$B21)</f>
        <v>DP 8207 GZ</v>
      </c>
      <c r="B395" s="6" t="str">
        <f aca="false">IF($A395="","",INDEX(PlanningItemsList,14))</f>
        <v>Sarung Jok</v>
      </c>
      <c r="C395" s="7"/>
      <c r="D395" s="7"/>
    </row>
    <row r="396" customFormat="false" ht="15" hidden="false" customHeight="false" outlineLevel="0" collapsed="false">
      <c r="A396" s="6" t="str">
        <f aca="false">IF('DATA UNIT'!$B21="","",'DATA UNIT'!$B21)</f>
        <v>DP 8207 GZ</v>
      </c>
      <c r="B396" s="6" t="str">
        <f aca="false">IF($A396="","",INDEX(PlanningItemsList,15))</f>
        <v>Karpet Karet</v>
      </c>
      <c r="C396" s="7"/>
      <c r="D396" s="7"/>
    </row>
    <row r="397" customFormat="false" ht="15" hidden="false" customHeight="false" outlineLevel="0" collapsed="false">
      <c r="A397" s="6" t="str">
        <f aca="false">IF('DATA UNIT'!$B21="","",'DATA UNIT'!$B21)</f>
        <v>DP 8207 GZ</v>
      </c>
      <c r="B397" s="6" t="str">
        <f aca="false">IF($A397="","",INDEX(PlanningItemsList,16))</f>
        <v>Karpet Dasar</v>
      </c>
      <c r="C397" s="7"/>
      <c r="D397" s="7"/>
    </row>
    <row r="398" customFormat="false" ht="15" hidden="false" customHeight="false" outlineLevel="0" collapsed="false">
      <c r="A398" s="6" t="str">
        <f aca="false">IF('DATA UNIT'!$B21="","",'DATA UNIT'!$B21)</f>
        <v>DP 8207 GZ</v>
      </c>
      <c r="B398" s="6" t="str">
        <f aca="false">IF($A398="","",INDEX(PlanningItemsList,17))</f>
        <v>Flushing Radiator</v>
      </c>
      <c r="C398" s="7"/>
      <c r="D398" s="7"/>
    </row>
    <row r="399" customFormat="false" ht="15" hidden="false" customHeight="false" outlineLevel="0" collapsed="false">
      <c r="A399" s="6" t="str">
        <f aca="false">IF('DATA UNIT'!$B21="","",'DATA UNIT'!$B21)</f>
        <v>DP 8207 GZ</v>
      </c>
      <c r="B399" s="6" t="str">
        <f aca="false">IF($A399="","",INDEX(PlanningItemsList,18))</f>
        <v>Flushing Steering</v>
      </c>
      <c r="C399" s="7"/>
      <c r="D399" s="7"/>
    </row>
    <row r="400" customFormat="false" ht="15" hidden="false" customHeight="false" outlineLevel="0" collapsed="false">
      <c r="A400" s="6" t="str">
        <f aca="false">IF('DATA UNIT'!$B21="","",'DATA UNIT'!$B21)</f>
        <v>DP 8207 GZ</v>
      </c>
      <c r="B400" s="6" t="str">
        <f aca="false">IF($A400="","",INDEX(PlanningItemsList,19))</f>
        <v>Flushing Injector</v>
      </c>
      <c r="C400" s="7"/>
      <c r="D400" s="7"/>
    </row>
    <row r="401" customFormat="false" ht="15" hidden="false" customHeight="false" outlineLevel="0" collapsed="false">
      <c r="A401" s="6" t="str">
        <f aca="false">IF('DATA UNIT'!$B21="","",'DATA UNIT'!$B21)</f>
        <v>DP 8207 GZ</v>
      </c>
      <c r="B401" s="6" t="str">
        <f aca="false">IF($A401="","",INDEX(PlanningItemsList,20))</f>
        <v>Flushing Rem</v>
      </c>
      <c r="C401" s="7"/>
      <c r="D401" s="7"/>
    </row>
    <row r="402" customFormat="false" ht="15" hidden="false" customHeight="false" outlineLevel="0" collapsed="false">
      <c r="A402" s="6" t="str">
        <f aca="false">IF('DATA UNIT'!$B22="","",'DATA UNIT'!$B22)</f>
        <v>DP 8209 GZ</v>
      </c>
      <c r="B402" s="6" t="str">
        <f aca="false">IF($A402="","",INDEX(PlanningItemsList,1))</f>
        <v>PM Check / Reguler Services</v>
      </c>
      <c r="C402" s="7"/>
      <c r="D402" s="7"/>
    </row>
    <row r="403" customFormat="false" ht="15" hidden="false" customHeight="false" outlineLevel="0" collapsed="false">
      <c r="A403" s="6" t="str">
        <f aca="false">IF('DATA UNIT'!$B22="","",'DATA UNIT'!$B22)</f>
        <v>DP 8209 GZ</v>
      </c>
      <c r="B403" s="6" t="str">
        <f aca="false">IF($A403="","",INDEX(PlanningItemsList,2))</f>
        <v>Service A</v>
      </c>
      <c r="C403" s="7"/>
      <c r="D403" s="7"/>
    </row>
    <row r="404" customFormat="false" ht="15" hidden="false" customHeight="false" outlineLevel="0" collapsed="false">
      <c r="A404" s="6" t="str">
        <f aca="false">IF('DATA UNIT'!$B22="","",'DATA UNIT'!$B22)</f>
        <v>DP 8209 GZ</v>
      </c>
      <c r="B404" s="6" t="str">
        <f aca="false">IF($A404="","",INDEX(PlanningItemsList,3))</f>
        <v>Service B</v>
      </c>
      <c r="C404" s="7"/>
      <c r="D404" s="7"/>
    </row>
    <row r="405" customFormat="false" ht="15" hidden="false" customHeight="false" outlineLevel="0" collapsed="false">
      <c r="A405" s="6" t="str">
        <f aca="false">IF('DATA UNIT'!$B22="","",'DATA UNIT'!$B22)</f>
        <v>DP 8209 GZ</v>
      </c>
      <c r="B405" s="6" t="str">
        <f aca="false">IF($A405="","",INDEX(PlanningItemsList,4))</f>
        <v>Brake Pad</v>
      </c>
      <c r="C405" s="7"/>
      <c r="D405" s="7"/>
    </row>
    <row r="406" customFormat="false" ht="15" hidden="false" customHeight="false" outlineLevel="0" collapsed="false">
      <c r="A406" s="6" t="str">
        <f aca="false">IF('DATA UNIT'!$B22="","",'DATA UNIT'!$B22)</f>
        <v>DP 8209 GZ</v>
      </c>
      <c r="B406" s="6" t="str">
        <f aca="false">IF($A406="","",INDEX(PlanningItemsList,5))</f>
        <v>Brake Shoe</v>
      </c>
      <c r="C406" s="7"/>
      <c r="D406" s="7"/>
    </row>
    <row r="407" customFormat="false" ht="15" hidden="false" customHeight="false" outlineLevel="0" collapsed="false">
      <c r="A407" s="6" t="str">
        <f aca="false">IF('DATA UNIT'!$B22="","",'DATA UNIT'!$B22)</f>
        <v>DP 8209 GZ</v>
      </c>
      <c r="B407" s="6" t="str">
        <f aca="false">IF($A407="","",INDEX(PlanningItemsList,6))</f>
        <v>Accu</v>
      </c>
      <c r="C407" s="7"/>
      <c r="D407" s="7"/>
    </row>
    <row r="408" customFormat="false" ht="15" hidden="false" customHeight="false" outlineLevel="0" collapsed="false">
      <c r="A408" s="6" t="str">
        <f aca="false">IF('DATA UNIT'!$B22="","",'DATA UNIT'!$B22)</f>
        <v>DP 8209 GZ</v>
      </c>
      <c r="B408" s="6" t="str">
        <f aca="false">IF($A408="","",INDEX(PlanningItemsList,7))</f>
        <v>Kampas Kopling Set</v>
      </c>
      <c r="C408" s="7"/>
      <c r="D408" s="7"/>
    </row>
    <row r="409" customFormat="false" ht="15" hidden="false" customHeight="false" outlineLevel="0" collapsed="false">
      <c r="A409" s="6" t="str">
        <f aca="false">IF('DATA UNIT'!$B22="","",'DATA UNIT'!$B22)</f>
        <v>DP 8209 GZ</v>
      </c>
      <c r="B409" s="6" t="str">
        <f aca="false">IF($A409="","",INDEX(PlanningItemsList,8))</f>
        <v>Wiper Blade</v>
      </c>
      <c r="C409" s="7"/>
      <c r="D409" s="7"/>
    </row>
    <row r="410" customFormat="false" ht="15" hidden="false" customHeight="false" outlineLevel="0" collapsed="false">
      <c r="A410" s="6" t="str">
        <f aca="false">IF('DATA UNIT'!$B22="","",'DATA UNIT'!$B22)</f>
        <v>DP 8209 GZ</v>
      </c>
      <c r="B410" s="6" t="str">
        <f aca="false">IF($A410="","",INDEX(PlanningItemsList,9))</f>
        <v>Ban Depan</v>
      </c>
      <c r="C410" s="7"/>
      <c r="D410" s="7"/>
    </row>
    <row r="411" customFormat="false" ht="15" hidden="false" customHeight="false" outlineLevel="0" collapsed="false">
      <c r="A411" s="6" t="str">
        <f aca="false">IF('DATA UNIT'!$B22="","",'DATA UNIT'!$B22)</f>
        <v>DP 8209 GZ</v>
      </c>
      <c r="B411" s="6" t="str">
        <f aca="false">IF($A411="","",INDEX(PlanningItemsList,10))</f>
        <v>Ban Belakang</v>
      </c>
      <c r="C411" s="7"/>
      <c r="D411" s="7"/>
    </row>
    <row r="412" customFormat="false" ht="15" hidden="false" customHeight="false" outlineLevel="0" collapsed="false">
      <c r="A412" s="6" t="str">
        <f aca="false">IF('DATA UNIT'!$B22="","",'DATA UNIT'!$B22)</f>
        <v>DP 8209 GZ</v>
      </c>
      <c r="B412" s="6" t="str">
        <f aca="false">IF($A412="","",INDEX(PlanningItemsList,11))</f>
        <v>Ban Serep</v>
      </c>
      <c r="C412" s="7"/>
      <c r="D412" s="7"/>
    </row>
    <row r="413" customFormat="false" ht="15" hidden="false" customHeight="false" outlineLevel="0" collapsed="false">
      <c r="A413" s="6" t="str">
        <f aca="false">IF('DATA UNIT'!$B22="","",'DATA UNIT'!$B22)</f>
        <v>DP 8209 GZ</v>
      </c>
      <c r="B413" s="6" t="str">
        <f aca="false">IF($A413="","",INDEX(PlanningItemsList,12))</f>
        <v>Greasing</v>
      </c>
      <c r="C413" s="7"/>
      <c r="D413" s="7"/>
    </row>
    <row r="414" customFormat="false" ht="15" hidden="false" customHeight="false" outlineLevel="0" collapsed="false">
      <c r="A414" s="6" t="str">
        <f aca="false">IF('DATA UNIT'!$B22="","",'DATA UNIT'!$B22)</f>
        <v>DP 8209 GZ</v>
      </c>
      <c r="B414" s="6" t="str">
        <f aca="false">IF($A414="","",INDEX(PlanningItemsList,13))</f>
        <v>V-Belt</v>
      </c>
      <c r="C414" s="7"/>
      <c r="D414" s="7"/>
    </row>
    <row r="415" customFormat="false" ht="15" hidden="false" customHeight="false" outlineLevel="0" collapsed="false">
      <c r="A415" s="6" t="str">
        <f aca="false">IF('DATA UNIT'!$B22="","",'DATA UNIT'!$B22)</f>
        <v>DP 8209 GZ</v>
      </c>
      <c r="B415" s="6" t="str">
        <f aca="false">IF($A415="","",INDEX(PlanningItemsList,14))</f>
        <v>Sarung Jok</v>
      </c>
      <c r="C415" s="7"/>
      <c r="D415" s="7"/>
    </row>
    <row r="416" customFormat="false" ht="15" hidden="false" customHeight="false" outlineLevel="0" collapsed="false">
      <c r="A416" s="6" t="str">
        <f aca="false">IF('DATA UNIT'!$B22="","",'DATA UNIT'!$B22)</f>
        <v>DP 8209 GZ</v>
      </c>
      <c r="B416" s="6" t="str">
        <f aca="false">IF($A416="","",INDEX(PlanningItemsList,15))</f>
        <v>Karpet Karet</v>
      </c>
      <c r="C416" s="7"/>
      <c r="D416" s="7"/>
    </row>
    <row r="417" customFormat="false" ht="15" hidden="false" customHeight="false" outlineLevel="0" collapsed="false">
      <c r="A417" s="6" t="str">
        <f aca="false">IF('DATA UNIT'!$B22="","",'DATA UNIT'!$B22)</f>
        <v>DP 8209 GZ</v>
      </c>
      <c r="B417" s="6" t="str">
        <f aca="false">IF($A417="","",INDEX(PlanningItemsList,16))</f>
        <v>Karpet Dasar</v>
      </c>
      <c r="C417" s="7"/>
      <c r="D417" s="7"/>
    </row>
    <row r="418" customFormat="false" ht="15" hidden="false" customHeight="false" outlineLevel="0" collapsed="false">
      <c r="A418" s="6" t="str">
        <f aca="false">IF('DATA UNIT'!$B22="","",'DATA UNIT'!$B22)</f>
        <v>DP 8209 GZ</v>
      </c>
      <c r="B418" s="6" t="str">
        <f aca="false">IF($A418="","",INDEX(PlanningItemsList,17))</f>
        <v>Flushing Radiator</v>
      </c>
      <c r="C418" s="7"/>
      <c r="D418" s="7"/>
    </row>
    <row r="419" customFormat="false" ht="15" hidden="false" customHeight="false" outlineLevel="0" collapsed="false">
      <c r="A419" s="6" t="str">
        <f aca="false">IF('DATA UNIT'!$B22="","",'DATA UNIT'!$B22)</f>
        <v>DP 8209 GZ</v>
      </c>
      <c r="B419" s="6" t="str">
        <f aca="false">IF($A419="","",INDEX(PlanningItemsList,18))</f>
        <v>Flushing Steering</v>
      </c>
      <c r="C419" s="7"/>
      <c r="D419" s="7"/>
    </row>
    <row r="420" customFormat="false" ht="15" hidden="false" customHeight="false" outlineLevel="0" collapsed="false">
      <c r="A420" s="6" t="str">
        <f aca="false">IF('DATA UNIT'!$B22="","",'DATA UNIT'!$B22)</f>
        <v>DP 8209 GZ</v>
      </c>
      <c r="B420" s="6" t="str">
        <f aca="false">IF($A420="","",INDEX(PlanningItemsList,19))</f>
        <v>Flushing Injector</v>
      </c>
      <c r="C420" s="7"/>
      <c r="D420" s="7"/>
    </row>
    <row r="421" customFormat="false" ht="15" hidden="false" customHeight="false" outlineLevel="0" collapsed="false">
      <c r="A421" s="6" t="str">
        <f aca="false">IF('DATA UNIT'!$B22="","",'DATA UNIT'!$B22)</f>
        <v>DP 8209 GZ</v>
      </c>
      <c r="B421" s="6" t="str">
        <f aca="false">IF($A421="","",INDEX(PlanningItemsList,20))</f>
        <v>Flushing Rem</v>
      </c>
      <c r="C421" s="7"/>
      <c r="D421" s="7"/>
    </row>
    <row r="422" customFormat="false" ht="15" hidden="false" customHeight="false" outlineLevel="0" collapsed="false">
      <c r="A422" s="6" t="str">
        <f aca="false">IF('DATA UNIT'!$B23="","",'DATA UNIT'!$B23)</f>
        <v>DP 8208 GZ</v>
      </c>
      <c r="B422" s="6" t="str">
        <f aca="false">IF($A422="","",INDEX(PlanningItemsList,1))</f>
        <v>PM Check / Reguler Services</v>
      </c>
      <c r="C422" s="7"/>
      <c r="D422" s="7"/>
    </row>
    <row r="423" customFormat="false" ht="15" hidden="false" customHeight="false" outlineLevel="0" collapsed="false">
      <c r="A423" s="6" t="str">
        <f aca="false">IF('DATA UNIT'!$B23="","",'DATA UNIT'!$B23)</f>
        <v>DP 8208 GZ</v>
      </c>
      <c r="B423" s="6" t="str">
        <f aca="false">IF($A423="","",INDEX(PlanningItemsList,2))</f>
        <v>Service A</v>
      </c>
      <c r="C423" s="7"/>
      <c r="D423" s="7"/>
    </row>
    <row r="424" customFormat="false" ht="15" hidden="false" customHeight="false" outlineLevel="0" collapsed="false">
      <c r="A424" s="6" t="str">
        <f aca="false">IF('DATA UNIT'!$B23="","",'DATA UNIT'!$B23)</f>
        <v>DP 8208 GZ</v>
      </c>
      <c r="B424" s="6" t="str">
        <f aca="false">IF($A424="","",INDEX(PlanningItemsList,3))</f>
        <v>Service B</v>
      </c>
      <c r="C424" s="7"/>
      <c r="D424" s="7"/>
    </row>
    <row r="425" customFormat="false" ht="15" hidden="false" customHeight="false" outlineLevel="0" collapsed="false">
      <c r="A425" s="6" t="str">
        <f aca="false">IF('DATA UNIT'!$B23="","",'DATA UNIT'!$B23)</f>
        <v>DP 8208 GZ</v>
      </c>
      <c r="B425" s="6" t="str">
        <f aca="false">IF($A425="","",INDEX(PlanningItemsList,4))</f>
        <v>Brake Pad</v>
      </c>
      <c r="C425" s="7"/>
      <c r="D425" s="7"/>
    </row>
    <row r="426" customFormat="false" ht="15" hidden="false" customHeight="false" outlineLevel="0" collapsed="false">
      <c r="A426" s="6" t="str">
        <f aca="false">IF('DATA UNIT'!$B23="","",'DATA UNIT'!$B23)</f>
        <v>DP 8208 GZ</v>
      </c>
      <c r="B426" s="6" t="str">
        <f aca="false">IF($A426="","",INDEX(PlanningItemsList,5))</f>
        <v>Brake Shoe</v>
      </c>
      <c r="C426" s="7"/>
      <c r="D426" s="7"/>
    </row>
    <row r="427" customFormat="false" ht="15" hidden="false" customHeight="false" outlineLevel="0" collapsed="false">
      <c r="A427" s="6" t="str">
        <f aca="false">IF('DATA UNIT'!$B23="","",'DATA UNIT'!$B23)</f>
        <v>DP 8208 GZ</v>
      </c>
      <c r="B427" s="6" t="str">
        <f aca="false">IF($A427="","",INDEX(PlanningItemsList,6))</f>
        <v>Accu</v>
      </c>
      <c r="C427" s="7"/>
      <c r="D427" s="7"/>
    </row>
    <row r="428" customFormat="false" ht="15" hidden="false" customHeight="false" outlineLevel="0" collapsed="false">
      <c r="A428" s="6" t="str">
        <f aca="false">IF('DATA UNIT'!$B23="","",'DATA UNIT'!$B23)</f>
        <v>DP 8208 GZ</v>
      </c>
      <c r="B428" s="6" t="str">
        <f aca="false">IF($A428="","",INDEX(PlanningItemsList,7))</f>
        <v>Kampas Kopling Set</v>
      </c>
      <c r="C428" s="7"/>
      <c r="D428" s="7"/>
    </row>
    <row r="429" customFormat="false" ht="15" hidden="false" customHeight="false" outlineLevel="0" collapsed="false">
      <c r="A429" s="6" t="str">
        <f aca="false">IF('DATA UNIT'!$B23="","",'DATA UNIT'!$B23)</f>
        <v>DP 8208 GZ</v>
      </c>
      <c r="B429" s="6" t="str">
        <f aca="false">IF($A429="","",INDEX(PlanningItemsList,8))</f>
        <v>Wiper Blade</v>
      </c>
      <c r="C429" s="7"/>
      <c r="D429" s="7"/>
    </row>
    <row r="430" customFormat="false" ht="15" hidden="false" customHeight="false" outlineLevel="0" collapsed="false">
      <c r="A430" s="6" t="str">
        <f aca="false">IF('DATA UNIT'!$B23="","",'DATA UNIT'!$B23)</f>
        <v>DP 8208 GZ</v>
      </c>
      <c r="B430" s="6" t="str">
        <f aca="false">IF($A430="","",INDEX(PlanningItemsList,9))</f>
        <v>Ban Depan</v>
      </c>
      <c r="C430" s="7"/>
      <c r="D430" s="7"/>
    </row>
    <row r="431" customFormat="false" ht="15" hidden="false" customHeight="false" outlineLevel="0" collapsed="false">
      <c r="A431" s="6" t="str">
        <f aca="false">IF('DATA UNIT'!$B23="","",'DATA UNIT'!$B23)</f>
        <v>DP 8208 GZ</v>
      </c>
      <c r="B431" s="6" t="str">
        <f aca="false">IF($A431="","",INDEX(PlanningItemsList,10))</f>
        <v>Ban Belakang</v>
      </c>
      <c r="C431" s="7"/>
      <c r="D431" s="7"/>
    </row>
    <row r="432" customFormat="false" ht="15" hidden="false" customHeight="false" outlineLevel="0" collapsed="false">
      <c r="A432" s="6" t="str">
        <f aca="false">IF('DATA UNIT'!$B23="","",'DATA UNIT'!$B23)</f>
        <v>DP 8208 GZ</v>
      </c>
      <c r="B432" s="6" t="str">
        <f aca="false">IF($A432="","",INDEX(PlanningItemsList,11))</f>
        <v>Ban Serep</v>
      </c>
      <c r="C432" s="7"/>
      <c r="D432" s="7"/>
    </row>
    <row r="433" customFormat="false" ht="15" hidden="false" customHeight="false" outlineLevel="0" collapsed="false">
      <c r="A433" s="6" t="str">
        <f aca="false">IF('DATA UNIT'!$B23="","",'DATA UNIT'!$B23)</f>
        <v>DP 8208 GZ</v>
      </c>
      <c r="B433" s="6" t="str">
        <f aca="false">IF($A433="","",INDEX(PlanningItemsList,12))</f>
        <v>Greasing</v>
      </c>
      <c r="C433" s="7"/>
      <c r="D433" s="7"/>
    </row>
    <row r="434" customFormat="false" ht="15" hidden="false" customHeight="false" outlineLevel="0" collapsed="false">
      <c r="A434" s="6" t="str">
        <f aca="false">IF('DATA UNIT'!$B23="","",'DATA UNIT'!$B23)</f>
        <v>DP 8208 GZ</v>
      </c>
      <c r="B434" s="6" t="str">
        <f aca="false">IF($A434="","",INDEX(PlanningItemsList,13))</f>
        <v>V-Belt</v>
      </c>
      <c r="C434" s="7"/>
      <c r="D434" s="7"/>
    </row>
    <row r="435" customFormat="false" ht="15" hidden="false" customHeight="false" outlineLevel="0" collapsed="false">
      <c r="A435" s="6" t="str">
        <f aca="false">IF('DATA UNIT'!$B23="","",'DATA UNIT'!$B23)</f>
        <v>DP 8208 GZ</v>
      </c>
      <c r="B435" s="6" t="str">
        <f aca="false">IF($A435="","",INDEX(PlanningItemsList,14))</f>
        <v>Sarung Jok</v>
      </c>
      <c r="C435" s="7"/>
      <c r="D435" s="7"/>
    </row>
    <row r="436" customFormat="false" ht="15" hidden="false" customHeight="false" outlineLevel="0" collapsed="false">
      <c r="A436" s="6" t="str">
        <f aca="false">IF('DATA UNIT'!$B23="","",'DATA UNIT'!$B23)</f>
        <v>DP 8208 GZ</v>
      </c>
      <c r="B436" s="6" t="str">
        <f aca="false">IF($A436="","",INDEX(PlanningItemsList,15))</f>
        <v>Karpet Karet</v>
      </c>
      <c r="C436" s="7"/>
      <c r="D436" s="7"/>
    </row>
    <row r="437" customFormat="false" ht="15" hidden="false" customHeight="false" outlineLevel="0" collapsed="false">
      <c r="A437" s="6" t="str">
        <f aca="false">IF('DATA UNIT'!$B23="","",'DATA UNIT'!$B23)</f>
        <v>DP 8208 GZ</v>
      </c>
      <c r="B437" s="6" t="str">
        <f aca="false">IF($A437="","",INDEX(PlanningItemsList,16))</f>
        <v>Karpet Dasar</v>
      </c>
      <c r="C437" s="7"/>
      <c r="D437" s="7"/>
    </row>
    <row r="438" customFormat="false" ht="15" hidden="false" customHeight="false" outlineLevel="0" collapsed="false">
      <c r="A438" s="6" t="str">
        <f aca="false">IF('DATA UNIT'!$B23="","",'DATA UNIT'!$B23)</f>
        <v>DP 8208 GZ</v>
      </c>
      <c r="B438" s="6" t="str">
        <f aca="false">IF($A438="","",INDEX(PlanningItemsList,17))</f>
        <v>Flushing Radiator</v>
      </c>
      <c r="C438" s="7"/>
      <c r="D438" s="7"/>
    </row>
    <row r="439" customFormat="false" ht="15" hidden="false" customHeight="false" outlineLevel="0" collapsed="false">
      <c r="A439" s="6" t="str">
        <f aca="false">IF('DATA UNIT'!$B23="","",'DATA UNIT'!$B23)</f>
        <v>DP 8208 GZ</v>
      </c>
      <c r="B439" s="6" t="str">
        <f aca="false">IF($A439="","",INDEX(PlanningItemsList,18))</f>
        <v>Flushing Steering</v>
      </c>
      <c r="C439" s="7"/>
      <c r="D439" s="7"/>
    </row>
    <row r="440" customFormat="false" ht="15" hidden="false" customHeight="false" outlineLevel="0" collapsed="false">
      <c r="A440" s="6" t="str">
        <f aca="false">IF('DATA UNIT'!$B23="","",'DATA UNIT'!$B23)</f>
        <v>DP 8208 GZ</v>
      </c>
      <c r="B440" s="6" t="str">
        <f aca="false">IF($A440="","",INDEX(PlanningItemsList,19))</f>
        <v>Flushing Injector</v>
      </c>
      <c r="C440" s="7"/>
      <c r="D440" s="7"/>
    </row>
    <row r="441" customFormat="false" ht="15" hidden="false" customHeight="false" outlineLevel="0" collapsed="false">
      <c r="A441" s="6" t="str">
        <f aca="false">IF('DATA UNIT'!$B23="","",'DATA UNIT'!$B23)</f>
        <v>DP 8208 GZ</v>
      </c>
      <c r="B441" s="6" t="str">
        <f aca="false">IF($A441="","",INDEX(PlanningItemsList,20))</f>
        <v>Flushing Rem</v>
      </c>
      <c r="C441" s="7"/>
      <c r="D441" s="7"/>
    </row>
    <row r="442" customFormat="false" ht="15" hidden="false" customHeight="false" outlineLevel="0" collapsed="false">
      <c r="A442" s="6" t="str">
        <f aca="false">IF('DATA UNIT'!$B24="","",'DATA UNIT'!$B24)</f>
        <v>DP 8156 GZ</v>
      </c>
      <c r="B442" s="6" t="str">
        <f aca="false">IF($A442="","",INDEX(PlanningItemsList,1))</f>
        <v>PM Check / Reguler Services</v>
      </c>
      <c r="C442" s="7"/>
      <c r="D442" s="7"/>
    </row>
    <row r="443" customFormat="false" ht="15" hidden="false" customHeight="false" outlineLevel="0" collapsed="false">
      <c r="A443" s="6" t="str">
        <f aca="false">IF('DATA UNIT'!$B24="","",'DATA UNIT'!$B24)</f>
        <v>DP 8156 GZ</v>
      </c>
      <c r="B443" s="6" t="str">
        <f aca="false">IF($A443="","",INDEX(PlanningItemsList,2))</f>
        <v>Service A</v>
      </c>
      <c r="C443" s="7"/>
      <c r="D443" s="7"/>
    </row>
    <row r="444" customFormat="false" ht="15" hidden="false" customHeight="false" outlineLevel="0" collapsed="false">
      <c r="A444" s="6" t="str">
        <f aca="false">IF('DATA UNIT'!$B24="","",'DATA UNIT'!$B24)</f>
        <v>DP 8156 GZ</v>
      </c>
      <c r="B444" s="6" t="str">
        <f aca="false">IF($A444="","",INDEX(PlanningItemsList,3))</f>
        <v>Service B</v>
      </c>
      <c r="C444" s="7"/>
      <c r="D444" s="7"/>
    </row>
    <row r="445" customFormat="false" ht="15" hidden="false" customHeight="false" outlineLevel="0" collapsed="false">
      <c r="A445" s="6" t="str">
        <f aca="false">IF('DATA UNIT'!$B24="","",'DATA UNIT'!$B24)</f>
        <v>DP 8156 GZ</v>
      </c>
      <c r="B445" s="6" t="str">
        <f aca="false">IF($A445="","",INDEX(PlanningItemsList,4))</f>
        <v>Brake Pad</v>
      </c>
      <c r="C445" s="7"/>
      <c r="D445" s="7"/>
    </row>
    <row r="446" customFormat="false" ht="15" hidden="false" customHeight="false" outlineLevel="0" collapsed="false">
      <c r="A446" s="6" t="str">
        <f aca="false">IF('DATA UNIT'!$B24="","",'DATA UNIT'!$B24)</f>
        <v>DP 8156 GZ</v>
      </c>
      <c r="B446" s="6" t="str">
        <f aca="false">IF($A446="","",INDEX(PlanningItemsList,5))</f>
        <v>Brake Shoe</v>
      </c>
      <c r="C446" s="7"/>
      <c r="D446" s="7"/>
    </row>
    <row r="447" customFormat="false" ht="15" hidden="false" customHeight="false" outlineLevel="0" collapsed="false">
      <c r="A447" s="6" t="str">
        <f aca="false">IF('DATA UNIT'!$B24="","",'DATA UNIT'!$B24)</f>
        <v>DP 8156 GZ</v>
      </c>
      <c r="B447" s="6" t="str">
        <f aca="false">IF($A447="","",INDEX(PlanningItemsList,6))</f>
        <v>Accu</v>
      </c>
      <c r="C447" s="7"/>
      <c r="D447" s="7"/>
    </row>
    <row r="448" customFormat="false" ht="15" hidden="false" customHeight="false" outlineLevel="0" collapsed="false">
      <c r="A448" s="6" t="str">
        <f aca="false">IF('DATA UNIT'!$B24="","",'DATA UNIT'!$B24)</f>
        <v>DP 8156 GZ</v>
      </c>
      <c r="B448" s="6" t="str">
        <f aca="false">IF($A448="","",INDEX(PlanningItemsList,7))</f>
        <v>Kampas Kopling Set</v>
      </c>
      <c r="C448" s="7"/>
      <c r="D448" s="7"/>
    </row>
    <row r="449" customFormat="false" ht="15" hidden="false" customHeight="false" outlineLevel="0" collapsed="false">
      <c r="A449" s="6" t="str">
        <f aca="false">IF('DATA UNIT'!$B24="","",'DATA UNIT'!$B24)</f>
        <v>DP 8156 GZ</v>
      </c>
      <c r="B449" s="6" t="str">
        <f aca="false">IF($A449="","",INDEX(PlanningItemsList,8))</f>
        <v>Wiper Blade</v>
      </c>
      <c r="C449" s="7"/>
      <c r="D449" s="7"/>
    </row>
    <row r="450" customFormat="false" ht="15" hidden="false" customHeight="false" outlineLevel="0" collapsed="false">
      <c r="A450" s="6" t="str">
        <f aca="false">IF('DATA UNIT'!$B24="","",'DATA UNIT'!$B24)</f>
        <v>DP 8156 GZ</v>
      </c>
      <c r="B450" s="6" t="str">
        <f aca="false">IF($A450="","",INDEX(PlanningItemsList,9))</f>
        <v>Ban Depan</v>
      </c>
      <c r="C450" s="7"/>
      <c r="D450" s="7"/>
    </row>
    <row r="451" customFormat="false" ht="15" hidden="false" customHeight="false" outlineLevel="0" collapsed="false">
      <c r="A451" s="6" t="str">
        <f aca="false">IF('DATA UNIT'!$B24="","",'DATA UNIT'!$B24)</f>
        <v>DP 8156 GZ</v>
      </c>
      <c r="B451" s="6" t="str">
        <f aca="false">IF($A451="","",INDEX(PlanningItemsList,10))</f>
        <v>Ban Belakang</v>
      </c>
      <c r="C451" s="7"/>
      <c r="D451" s="7"/>
    </row>
    <row r="452" customFormat="false" ht="15" hidden="false" customHeight="false" outlineLevel="0" collapsed="false">
      <c r="A452" s="6" t="str">
        <f aca="false">IF('DATA UNIT'!$B24="","",'DATA UNIT'!$B24)</f>
        <v>DP 8156 GZ</v>
      </c>
      <c r="B452" s="6" t="str">
        <f aca="false">IF($A452="","",INDEX(PlanningItemsList,11))</f>
        <v>Ban Serep</v>
      </c>
      <c r="C452" s="7"/>
      <c r="D452" s="7"/>
    </row>
    <row r="453" customFormat="false" ht="15" hidden="false" customHeight="false" outlineLevel="0" collapsed="false">
      <c r="A453" s="6" t="str">
        <f aca="false">IF('DATA UNIT'!$B24="","",'DATA UNIT'!$B24)</f>
        <v>DP 8156 GZ</v>
      </c>
      <c r="B453" s="6" t="str">
        <f aca="false">IF($A453="","",INDEX(PlanningItemsList,12))</f>
        <v>Greasing</v>
      </c>
      <c r="C453" s="7"/>
      <c r="D453" s="7"/>
    </row>
    <row r="454" customFormat="false" ht="15" hidden="false" customHeight="false" outlineLevel="0" collapsed="false">
      <c r="A454" s="6" t="str">
        <f aca="false">IF('DATA UNIT'!$B24="","",'DATA UNIT'!$B24)</f>
        <v>DP 8156 GZ</v>
      </c>
      <c r="B454" s="6" t="str">
        <f aca="false">IF($A454="","",INDEX(PlanningItemsList,13))</f>
        <v>V-Belt</v>
      </c>
      <c r="C454" s="7"/>
      <c r="D454" s="7"/>
    </row>
    <row r="455" customFormat="false" ht="15" hidden="false" customHeight="false" outlineLevel="0" collapsed="false">
      <c r="A455" s="6" t="str">
        <f aca="false">IF('DATA UNIT'!$B24="","",'DATA UNIT'!$B24)</f>
        <v>DP 8156 GZ</v>
      </c>
      <c r="B455" s="6" t="str">
        <f aca="false">IF($A455="","",INDEX(PlanningItemsList,14))</f>
        <v>Sarung Jok</v>
      </c>
      <c r="C455" s="7"/>
      <c r="D455" s="7"/>
    </row>
    <row r="456" customFormat="false" ht="15" hidden="false" customHeight="false" outlineLevel="0" collapsed="false">
      <c r="A456" s="6" t="str">
        <f aca="false">IF('DATA UNIT'!$B24="","",'DATA UNIT'!$B24)</f>
        <v>DP 8156 GZ</v>
      </c>
      <c r="B456" s="6" t="str">
        <f aca="false">IF($A456="","",INDEX(PlanningItemsList,15))</f>
        <v>Karpet Karet</v>
      </c>
      <c r="C456" s="7"/>
      <c r="D456" s="7"/>
    </row>
    <row r="457" customFormat="false" ht="15" hidden="false" customHeight="false" outlineLevel="0" collapsed="false">
      <c r="A457" s="6" t="str">
        <f aca="false">IF('DATA UNIT'!$B24="","",'DATA UNIT'!$B24)</f>
        <v>DP 8156 GZ</v>
      </c>
      <c r="B457" s="6" t="str">
        <f aca="false">IF($A457="","",INDEX(PlanningItemsList,16))</f>
        <v>Karpet Dasar</v>
      </c>
      <c r="C457" s="7"/>
      <c r="D457" s="7"/>
    </row>
    <row r="458" customFormat="false" ht="15" hidden="false" customHeight="false" outlineLevel="0" collapsed="false">
      <c r="A458" s="6" t="str">
        <f aca="false">IF('DATA UNIT'!$B24="","",'DATA UNIT'!$B24)</f>
        <v>DP 8156 GZ</v>
      </c>
      <c r="B458" s="6" t="str">
        <f aca="false">IF($A458="","",INDEX(PlanningItemsList,17))</f>
        <v>Flushing Radiator</v>
      </c>
      <c r="C458" s="7"/>
      <c r="D458" s="7"/>
    </row>
    <row r="459" customFormat="false" ht="15" hidden="false" customHeight="false" outlineLevel="0" collapsed="false">
      <c r="A459" s="6" t="str">
        <f aca="false">IF('DATA UNIT'!$B24="","",'DATA UNIT'!$B24)</f>
        <v>DP 8156 GZ</v>
      </c>
      <c r="B459" s="6" t="str">
        <f aca="false">IF($A459="","",INDEX(PlanningItemsList,18))</f>
        <v>Flushing Steering</v>
      </c>
      <c r="C459" s="7"/>
      <c r="D459" s="7"/>
    </row>
    <row r="460" customFormat="false" ht="15" hidden="false" customHeight="false" outlineLevel="0" collapsed="false">
      <c r="A460" s="6" t="str">
        <f aca="false">IF('DATA UNIT'!$B24="","",'DATA UNIT'!$B24)</f>
        <v>DP 8156 GZ</v>
      </c>
      <c r="B460" s="6" t="str">
        <f aca="false">IF($A460="","",INDEX(PlanningItemsList,19))</f>
        <v>Flushing Injector</v>
      </c>
      <c r="C460" s="7"/>
      <c r="D460" s="7"/>
    </row>
    <row r="461" customFormat="false" ht="15" hidden="false" customHeight="false" outlineLevel="0" collapsed="false">
      <c r="A461" s="6" t="str">
        <f aca="false">IF('DATA UNIT'!$B24="","",'DATA UNIT'!$B24)</f>
        <v>DP 8156 GZ</v>
      </c>
      <c r="B461" s="6" t="str">
        <f aca="false">IF($A461="","",INDEX(PlanningItemsList,20))</f>
        <v>Flushing Rem</v>
      </c>
      <c r="C461" s="7"/>
      <c r="D461" s="7"/>
    </row>
    <row r="462" customFormat="false" ht="15" hidden="false" customHeight="false" outlineLevel="0" collapsed="false">
      <c r="A462" s="6" t="str">
        <f aca="false">IF('DATA UNIT'!$B25="","",'DATA UNIT'!$B25)</f>
        <v>B 1899 EKR</v>
      </c>
      <c r="B462" s="6" t="str">
        <f aca="false">IF($A462="","",INDEX(PlanningItemsList,1))</f>
        <v>PM Check / Reguler Services</v>
      </c>
      <c r="C462" s="7"/>
      <c r="D462" s="7"/>
    </row>
    <row r="463" customFormat="false" ht="15" hidden="false" customHeight="false" outlineLevel="0" collapsed="false">
      <c r="A463" s="6" t="str">
        <f aca="false">IF('DATA UNIT'!$B25="","",'DATA UNIT'!$B25)</f>
        <v>B 1899 EKR</v>
      </c>
      <c r="B463" s="6" t="str">
        <f aca="false">IF($A463="","",INDEX(PlanningItemsList,2))</f>
        <v>Service A</v>
      </c>
      <c r="C463" s="7"/>
      <c r="D463" s="7"/>
    </row>
    <row r="464" customFormat="false" ht="15" hidden="false" customHeight="false" outlineLevel="0" collapsed="false">
      <c r="A464" s="6" t="str">
        <f aca="false">IF('DATA UNIT'!$B25="","",'DATA UNIT'!$B25)</f>
        <v>B 1899 EKR</v>
      </c>
      <c r="B464" s="6" t="str">
        <f aca="false">IF($A464="","",INDEX(PlanningItemsList,3))</f>
        <v>Service B</v>
      </c>
      <c r="C464" s="7"/>
      <c r="D464" s="7"/>
    </row>
    <row r="465" customFormat="false" ht="15" hidden="false" customHeight="false" outlineLevel="0" collapsed="false">
      <c r="A465" s="6" t="str">
        <f aca="false">IF('DATA UNIT'!$B25="","",'DATA UNIT'!$B25)</f>
        <v>B 1899 EKR</v>
      </c>
      <c r="B465" s="6" t="str">
        <f aca="false">IF($A465="","",INDEX(PlanningItemsList,4))</f>
        <v>Brake Pad</v>
      </c>
      <c r="C465" s="7"/>
      <c r="D465" s="7"/>
    </row>
    <row r="466" customFormat="false" ht="15" hidden="false" customHeight="false" outlineLevel="0" collapsed="false">
      <c r="A466" s="6" t="str">
        <f aca="false">IF('DATA UNIT'!$B25="","",'DATA UNIT'!$B25)</f>
        <v>B 1899 EKR</v>
      </c>
      <c r="B466" s="6" t="str">
        <f aca="false">IF($A466="","",INDEX(PlanningItemsList,5))</f>
        <v>Brake Shoe</v>
      </c>
      <c r="C466" s="7"/>
      <c r="D466" s="7"/>
    </row>
    <row r="467" customFormat="false" ht="15" hidden="false" customHeight="false" outlineLevel="0" collapsed="false">
      <c r="A467" s="6" t="str">
        <f aca="false">IF('DATA UNIT'!$B25="","",'DATA UNIT'!$B25)</f>
        <v>B 1899 EKR</v>
      </c>
      <c r="B467" s="6" t="str">
        <f aca="false">IF($A467="","",INDEX(PlanningItemsList,6))</f>
        <v>Accu</v>
      </c>
      <c r="C467" s="7"/>
      <c r="D467" s="7"/>
    </row>
    <row r="468" customFormat="false" ht="15" hidden="false" customHeight="false" outlineLevel="0" collapsed="false">
      <c r="A468" s="6" t="str">
        <f aca="false">IF('DATA UNIT'!$B25="","",'DATA UNIT'!$B25)</f>
        <v>B 1899 EKR</v>
      </c>
      <c r="B468" s="6" t="str">
        <f aca="false">IF($A468="","",INDEX(PlanningItemsList,7))</f>
        <v>Kampas Kopling Set</v>
      </c>
      <c r="C468" s="7"/>
      <c r="D468" s="7"/>
    </row>
    <row r="469" customFormat="false" ht="15" hidden="false" customHeight="false" outlineLevel="0" collapsed="false">
      <c r="A469" s="6" t="str">
        <f aca="false">IF('DATA UNIT'!$B25="","",'DATA UNIT'!$B25)</f>
        <v>B 1899 EKR</v>
      </c>
      <c r="B469" s="6" t="str">
        <f aca="false">IF($A469="","",INDEX(PlanningItemsList,8))</f>
        <v>Wiper Blade</v>
      </c>
      <c r="C469" s="7"/>
      <c r="D469" s="7"/>
    </row>
    <row r="470" customFormat="false" ht="15" hidden="false" customHeight="false" outlineLevel="0" collapsed="false">
      <c r="A470" s="6" t="str">
        <f aca="false">IF('DATA UNIT'!$B25="","",'DATA UNIT'!$B25)</f>
        <v>B 1899 EKR</v>
      </c>
      <c r="B470" s="6" t="str">
        <f aca="false">IF($A470="","",INDEX(PlanningItemsList,9))</f>
        <v>Ban Depan</v>
      </c>
      <c r="C470" s="7"/>
      <c r="D470" s="7"/>
    </row>
    <row r="471" customFormat="false" ht="15" hidden="false" customHeight="false" outlineLevel="0" collapsed="false">
      <c r="A471" s="6" t="str">
        <f aca="false">IF('DATA UNIT'!$B25="","",'DATA UNIT'!$B25)</f>
        <v>B 1899 EKR</v>
      </c>
      <c r="B471" s="6" t="str">
        <f aca="false">IF($A471="","",INDEX(PlanningItemsList,10))</f>
        <v>Ban Belakang</v>
      </c>
      <c r="C471" s="7"/>
      <c r="D471" s="7"/>
    </row>
    <row r="472" customFormat="false" ht="15" hidden="false" customHeight="false" outlineLevel="0" collapsed="false">
      <c r="A472" s="6" t="str">
        <f aca="false">IF('DATA UNIT'!$B25="","",'DATA UNIT'!$B25)</f>
        <v>B 1899 EKR</v>
      </c>
      <c r="B472" s="6" t="str">
        <f aca="false">IF($A472="","",INDEX(PlanningItemsList,11))</f>
        <v>Ban Serep</v>
      </c>
      <c r="C472" s="7"/>
      <c r="D472" s="7"/>
    </row>
    <row r="473" customFormat="false" ht="15" hidden="false" customHeight="false" outlineLevel="0" collapsed="false">
      <c r="A473" s="6" t="str">
        <f aca="false">IF('DATA UNIT'!$B25="","",'DATA UNIT'!$B25)</f>
        <v>B 1899 EKR</v>
      </c>
      <c r="B473" s="6" t="str">
        <f aca="false">IF($A473="","",INDEX(PlanningItemsList,12))</f>
        <v>Greasing</v>
      </c>
      <c r="C473" s="7"/>
      <c r="D473" s="7"/>
    </row>
    <row r="474" customFormat="false" ht="15" hidden="false" customHeight="false" outlineLevel="0" collapsed="false">
      <c r="A474" s="6" t="str">
        <f aca="false">IF('DATA UNIT'!$B25="","",'DATA UNIT'!$B25)</f>
        <v>B 1899 EKR</v>
      </c>
      <c r="B474" s="6" t="str">
        <f aca="false">IF($A474="","",INDEX(PlanningItemsList,13))</f>
        <v>V-Belt</v>
      </c>
      <c r="C474" s="7"/>
      <c r="D474" s="7"/>
    </row>
    <row r="475" customFormat="false" ht="15" hidden="false" customHeight="false" outlineLevel="0" collapsed="false">
      <c r="A475" s="6" t="str">
        <f aca="false">IF('DATA UNIT'!$B25="","",'DATA UNIT'!$B25)</f>
        <v>B 1899 EKR</v>
      </c>
      <c r="B475" s="6" t="str">
        <f aca="false">IF($A475="","",INDEX(PlanningItemsList,14))</f>
        <v>Sarung Jok</v>
      </c>
      <c r="C475" s="7"/>
      <c r="D475" s="7"/>
    </row>
    <row r="476" customFormat="false" ht="15" hidden="false" customHeight="false" outlineLevel="0" collapsed="false">
      <c r="A476" s="6" t="str">
        <f aca="false">IF('DATA UNIT'!$B25="","",'DATA UNIT'!$B25)</f>
        <v>B 1899 EKR</v>
      </c>
      <c r="B476" s="6" t="str">
        <f aca="false">IF($A476="","",INDEX(PlanningItemsList,15))</f>
        <v>Karpet Karet</v>
      </c>
      <c r="C476" s="7"/>
      <c r="D476" s="7"/>
    </row>
    <row r="477" customFormat="false" ht="15" hidden="false" customHeight="false" outlineLevel="0" collapsed="false">
      <c r="A477" s="6" t="str">
        <f aca="false">IF('DATA UNIT'!$B25="","",'DATA UNIT'!$B25)</f>
        <v>B 1899 EKR</v>
      </c>
      <c r="B477" s="6" t="str">
        <f aca="false">IF($A477="","",INDEX(PlanningItemsList,16))</f>
        <v>Karpet Dasar</v>
      </c>
      <c r="C477" s="7"/>
      <c r="D477" s="7"/>
    </row>
    <row r="478" customFormat="false" ht="15" hidden="false" customHeight="false" outlineLevel="0" collapsed="false">
      <c r="A478" s="6" t="str">
        <f aca="false">IF('DATA UNIT'!$B25="","",'DATA UNIT'!$B25)</f>
        <v>B 1899 EKR</v>
      </c>
      <c r="B478" s="6" t="str">
        <f aca="false">IF($A478="","",INDEX(PlanningItemsList,17))</f>
        <v>Flushing Radiator</v>
      </c>
      <c r="C478" s="7"/>
      <c r="D478" s="7"/>
    </row>
    <row r="479" customFormat="false" ht="15" hidden="false" customHeight="false" outlineLevel="0" collapsed="false">
      <c r="A479" s="6" t="str">
        <f aca="false">IF('DATA UNIT'!$B25="","",'DATA UNIT'!$B25)</f>
        <v>B 1899 EKR</v>
      </c>
      <c r="B479" s="6" t="str">
        <f aca="false">IF($A479="","",INDEX(PlanningItemsList,18))</f>
        <v>Flushing Steering</v>
      </c>
      <c r="C479" s="7"/>
      <c r="D479" s="7"/>
    </row>
    <row r="480" customFormat="false" ht="15" hidden="false" customHeight="false" outlineLevel="0" collapsed="false">
      <c r="A480" s="6" t="str">
        <f aca="false">IF('DATA UNIT'!$B25="","",'DATA UNIT'!$B25)</f>
        <v>B 1899 EKR</v>
      </c>
      <c r="B480" s="6" t="str">
        <f aca="false">IF($A480="","",INDEX(PlanningItemsList,19))</f>
        <v>Flushing Injector</v>
      </c>
      <c r="C480" s="7"/>
      <c r="D480" s="7"/>
    </row>
    <row r="481" customFormat="false" ht="15" hidden="false" customHeight="false" outlineLevel="0" collapsed="false">
      <c r="A481" s="6" t="str">
        <f aca="false">IF('DATA UNIT'!$B25="","",'DATA UNIT'!$B25)</f>
        <v>B 1899 EKR</v>
      </c>
      <c r="B481" s="6" t="str">
        <f aca="false">IF($A481="","",INDEX(PlanningItemsList,20))</f>
        <v>Flushing Rem</v>
      </c>
      <c r="C481" s="7"/>
      <c r="D481" s="7"/>
    </row>
    <row r="482" customFormat="false" ht="15" hidden="false" customHeight="false" outlineLevel="0" collapsed="false">
      <c r="A482" s="6" t="str">
        <f aca="false">IF('DATA UNIT'!$B26="","",'DATA UNIT'!$B26)</f>
        <v>B 1324 EOH</v>
      </c>
      <c r="B482" s="6" t="str">
        <f aca="false">IF($A482="","",INDEX(PlanningItemsList,1))</f>
        <v>PM Check / Reguler Services</v>
      </c>
      <c r="C482" s="7"/>
      <c r="D482" s="7"/>
    </row>
    <row r="483" customFormat="false" ht="15" hidden="false" customHeight="false" outlineLevel="0" collapsed="false">
      <c r="A483" s="6" t="str">
        <f aca="false">IF('DATA UNIT'!$B26="","",'DATA UNIT'!$B26)</f>
        <v>B 1324 EOH</v>
      </c>
      <c r="B483" s="6" t="str">
        <f aca="false">IF($A483="","",INDEX(PlanningItemsList,2))</f>
        <v>Service A</v>
      </c>
      <c r="C483" s="7"/>
      <c r="D483" s="7"/>
    </row>
    <row r="484" customFormat="false" ht="15" hidden="false" customHeight="false" outlineLevel="0" collapsed="false">
      <c r="A484" s="6" t="str">
        <f aca="false">IF('DATA UNIT'!$B26="","",'DATA UNIT'!$B26)</f>
        <v>B 1324 EOH</v>
      </c>
      <c r="B484" s="6" t="str">
        <f aca="false">IF($A484="","",INDEX(PlanningItemsList,3))</f>
        <v>Service B</v>
      </c>
      <c r="C484" s="7"/>
      <c r="D484" s="7"/>
    </row>
    <row r="485" customFormat="false" ht="15" hidden="false" customHeight="false" outlineLevel="0" collapsed="false">
      <c r="A485" s="6" t="str">
        <f aca="false">IF('DATA UNIT'!$B26="","",'DATA UNIT'!$B26)</f>
        <v>B 1324 EOH</v>
      </c>
      <c r="B485" s="6" t="str">
        <f aca="false">IF($A485="","",INDEX(PlanningItemsList,4))</f>
        <v>Brake Pad</v>
      </c>
      <c r="C485" s="7"/>
      <c r="D485" s="7"/>
    </row>
    <row r="486" customFormat="false" ht="15" hidden="false" customHeight="false" outlineLevel="0" collapsed="false">
      <c r="A486" s="6" t="str">
        <f aca="false">IF('DATA UNIT'!$B26="","",'DATA UNIT'!$B26)</f>
        <v>B 1324 EOH</v>
      </c>
      <c r="B486" s="6" t="str">
        <f aca="false">IF($A486="","",INDEX(PlanningItemsList,5))</f>
        <v>Brake Shoe</v>
      </c>
      <c r="C486" s="7"/>
      <c r="D486" s="7"/>
    </row>
    <row r="487" customFormat="false" ht="15" hidden="false" customHeight="false" outlineLevel="0" collapsed="false">
      <c r="A487" s="6" t="str">
        <f aca="false">IF('DATA UNIT'!$B26="","",'DATA UNIT'!$B26)</f>
        <v>B 1324 EOH</v>
      </c>
      <c r="B487" s="6" t="str">
        <f aca="false">IF($A487="","",INDEX(PlanningItemsList,6))</f>
        <v>Accu</v>
      </c>
      <c r="C487" s="7"/>
      <c r="D487" s="7"/>
    </row>
    <row r="488" customFormat="false" ht="15" hidden="false" customHeight="false" outlineLevel="0" collapsed="false">
      <c r="A488" s="6" t="str">
        <f aca="false">IF('DATA UNIT'!$B26="","",'DATA UNIT'!$B26)</f>
        <v>B 1324 EOH</v>
      </c>
      <c r="B488" s="6" t="str">
        <f aca="false">IF($A488="","",INDEX(PlanningItemsList,7))</f>
        <v>Kampas Kopling Set</v>
      </c>
      <c r="C488" s="7"/>
      <c r="D488" s="7"/>
    </row>
    <row r="489" customFormat="false" ht="15" hidden="false" customHeight="false" outlineLevel="0" collapsed="false">
      <c r="A489" s="6" t="str">
        <f aca="false">IF('DATA UNIT'!$B26="","",'DATA UNIT'!$B26)</f>
        <v>B 1324 EOH</v>
      </c>
      <c r="B489" s="6" t="str">
        <f aca="false">IF($A489="","",INDEX(PlanningItemsList,8))</f>
        <v>Wiper Blade</v>
      </c>
      <c r="C489" s="7"/>
      <c r="D489" s="7"/>
    </row>
    <row r="490" customFormat="false" ht="15" hidden="false" customHeight="false" outlineLevel="0" collapsed="false">
      <c r="A490" s="6" t="str">
        <f aca="false">IF('DATA UNIT'!$B26="","",'DATA UNIT'!$B26)</f>
        <v>B 1324 EOH</v>
      </c>
      <c r="B490" s="6" t="str">
        <f aca="false">IF($A490="","",INDEX(PlanningItemsList,9))</f>
        <v>Ban Depan</v>
      </c>
      <c r="C490" s="7"/>
      <c r="D490" s="7"/>
    </row>
    <row r="491" customFormat="false" ht="15" hidden="false" customHeight="false" outlineLevel="0" collapsed="false">
      <c r="A491" s="6" t="str">
        <f aca="false">IF('DATA UNIT'!$B26="","",'DATA UNIT'!$B26)</f>
        <v>B 1324 EOH</v>
      </c>
      <c r="B491" s="6" t="str">
        <f aca="false">IF($A491="","",INDEX(PlanningItemsList,10))</f>
        <v>Ban Belakang</v>
      </c>
      <c r="C491" s="7"/>
      <c r="D491" s="7"/>
    </row>
    <row r="492" customFormat="false" ht="15" hidden="false" customHeight="false" outlineLevel="0" collapsed="false">
      <c r="A492" s="6" t="str">
        <f aca="false">IF('DATA UNIT'!$B26="","",'DATA UNIT'!$B26)</f>
        <v>B 1324 EOH</v>
      </c>
      <c r="B492" s="6" t="str">
        <f aca="false">IF($A492="","",INDEX(PlanningItemsList,11))</f>
        <v>Ban Serep</v>
      </c>
      <c r="C492" s="7"/>
      <c r="D492" s="7"/>
    </row>
    <row r="493" customFormat="false" ht="15" hidden="false" customHeight="false" outlineLevel="0" collapsed="false">
      <c r="A493" s="6" t="str">
        <f aca="false">IF('DATA UNIT'!$B26="","",'DATA UNIT'!$B26)</f>
        <v>B 1324 EOH</v>
      </c>
      <c r="B493" s="6" t="str">
        <f aca="false">IF($A493="","",INDEX(PlanningItemsList,12))</f>
        <v>Greasing</v>
      </c>
      <c r="C493" s="7"/>
      <c r="D493" s="7"/>
    </row>
    <row r="494" customFormat="false" ht="15" hidden="false" customHeight="false" outlineLevel="0" collapsed="false">
      <c r="A494" s="6" t="str">
        <f aca="false">IF('DATA UNIT'!$B26="","",'DATA UNIT'!$B26)</f>
        <v>B 1324 EOH</v>
      </c>
      <c r="B494" s="6" t="str">
        <f aca="false">IF($A494="","",INDEX(PlanningItemsList,13))</f>
        <v>V-Belt</v>
      </c>
      <c r="C494" s="7"/>
      <c r="D494" s="7"/>
    </row>
    <row r="495" customFormat="false" ht="15" hidden="false" customHeight="false" outlineLevel="0" collapsed="false">
      <c r="A495" s="6" t="str">
        <f aca="false">IF('DATA UNIT'!$B26="","",'DATA UNIT'!$B26)</f>
        <v>B 1324 EOH</v>
      </c>
      <c r="B495" s="6" t="str">
        <f aca="false">IF($A495="","",INDEX(PlanningItemsList,14))</f>
        <v>Sarung Jok</v>
      </c>
      <c r="C495" s="7"/>
      <c r="D495" s="7"/>
    </row>
    <row r="496" customFormat="false" ht="15" hidden="false" customHeight="false" outlineLevel="0" collapsed="false">
      <c r="A496" s="6" t="str">
        <f aca="false">IF('DATA UNIT'!$B26="","",'DATA UNIT'!$B26)</f>
        <v>B 1324 EOH</v>
      </c>
      <c r="B496" s="6" t="str">
        <f aca="false">IF($A496="","",INDEX(PlanningItemsList,15))</f>
        <v>Karpet Karet</v>
      </c>
      <c r="C496" s="7"/>
      <c r="D496" s="7"/>
    </row>
    <row r="497" customFormat="false" ht="15" hidden="false" customHeight="false" outlineLevel="0" collapsed="false">
      <c r="A497" s="6" t="str">
        <f aca="false">IF('DATA UNIT'!$B26="","",'DATA UNIT'!$B26)</f>
        <v>B 1324 EOH</v>
      </c>
      <c r="B497" s="6" t="str">
        <f aca="false">IF($A497="","",INDEX(PlanningItemsList,16))</f>
        <v>Karpet Dasar</v>
      </c>
      <c r="C497" s="7"/>
      <c r="D497" s="7"/>
    </row>
    <row r="498" customFormat="false" ht="15" hidden="false" customHeight="false" outlineLevel="0" collapsed="false">
      <c r="A498" s="6" t="str">
        <f aca="false">IF('DATA UNIT'!$B26="","",'DATA UNIT'!$B26)</f>
        <v>B 1324 EOH</v>
      </c>
      <c r="B498" s="6" t="str">
        <f aca="false">IF($A498="","",INDEX(PlanningItemsList,17))</f>
        <v>Flushing Radiator</v>
      </c>
      <c r="C498" s="7"/>
      <c r="D498" s="7"/>
    </row>
    <row r="499" customFormat="false" ht="15" hidden="false" customHeight="false" outlineLevel="0" collapsed="false">
      <c r="A499" s="6" t="str">
        <f aca="false">IF('DATA UNIT'!$B26="","",'DATA UNIT'!$B26)</f>
        <v>B 1324 EOH</v>
      </c>
      <c r="B499" s="6" t="str">
        <f aca="false">IF($A499="","",INDEX(PlanningItemsList,18))</f>
        <v>Flushing Steering</v>
      </c>
      <c r="C499" s="7"/>
      <c r="D499" s="7"/>
    </row>
    <row r="500" customFormat="false" ht="15" hidden="false" customHeight="false" outlineLevel="0" collapsed="false">
      <c r="A500" s="6" t="str">
        <f aca="false">IF('DATA UNIT'!$B26="","",'DATA UNIT'!$B26)</f>
        <v>B 1324 EOH</v>
      </c>
      <c r="B500" s="6" t="str">
        <f aca="false">IF($A500="","",INDEX(PlanningItemsList,19))</f>
        <v>Flushing Injector</v>
      </c>
      <c r="C500" s="7"/>
      <c r="D500" s="7"/>
    </row>
    <row r="501" customFormat="false" ht="15" hidden="false" customHeight="false" outlineLevel="0" collapsed="false">
      <c r="A501" s="6" t="str">
        <f aca="false">IF('DATA UNIT'!$B26="","",'DATA UNIT'!$B26)</f>
        <v>B 1324 EOH</v>
      </c>
      <c r="B501" s="6" t="str">
        <f aca="false">IF($A501="","",INDEX(PlanningItemsList,20))</f>
        <v>Flushing Rem</v>
      </c>
      <c r="C501" s="7"/>
      <c r="D501" s="7"/>
    </row>
    <row r="502" customFormat="false" ht="15" hidden="false" customHeight="false" outlineLevel="0" collapsed="false">
      <c r="A502" s="6" t="str">
        <f aca="false">IF('DATA UNIT'!$B27="","",'DATA UNIT'!$B27)</f>
        <v>DA 1206 TBI</v>
      </c>
      <c r="B502" s="6" t="str">
        <f aca="false">IF($A502="","",INDEX(PlanningItemsList,1))</f>
        <v>PM Check / Reguler Services</v>
      </c>
      <c r="C502" s="7"/>
      <c r="D502" s="7"/>
    </row>
    <row r="503" customFormat="false" ht="15" hidden="false" customHeight="false" outlineLevel="0" collapsed="false">
      <c r="A503" s="6" t="str">
        <f aca="false">IF('DATA UNIT'!$B27="","",'DATA UNIT'!$B27)</f>
        <v>DA 1206 TBI</v>
      </c>
      <c r="B503" s="6" t="str">
        <f aca="false">IF($A503="","",INDEX(PlanningItemsList,2))</f>
        <v>Service A</v>
      </c>
      <c r="C503" s="7"/>
      <c r="D503" s="7"/>
    </row>
    <row r="504" customFormat="false" ht="15" hidden="false" customHeight="false" outlineLevel="0" collapsed="false">
      <c r="A504" s="6" t="str">
        <f aca="false">IF('DATA UNIT'!$B27="","",'DATA UNIT'!$B27)</f>
        <v>DA 1206 TBI</v>
      </c>
      <c r="B504" s="6" t="str">
        <f aca="false">IF($A504="","",INDEX(PlanningItemsList,3))</f>
        <v>Service B</v>
      </c>
      <c r="C504" s="7"/>
      <c r="D504" s="7"/>
    </row>
    <row r="505" customFormat="false" ht="15" hidden="false" customHeight="false" outlineLevel="0" collapsed="false">
      <c r="A505" s="6" t="str">
        <f aca="false">IF('DATA UNIT'!$B27="","",'DATA UNIT'!$B27)</f>
        <v>DA 1206 TBI</v>
      </c>
      <c r="B505" s="6" t="str">
        <f aca="false">IF($A505="","",INDEX(PlanningItemsList,4))</f>
        <v>Brake Pad</v>
      </c>
      <c r="C505" s="7"/>
      <c r="D505" s="7"/>
    </row>
    <row r="506" customFormat="false" ht="15" hidden="false" customHeight="false" outlineLevel="0" collapsed="false">
      <c r="A506" s="6" t="str">
        <f aca="false">IF('DATA UNIT'!$B27="","",'DATA UNIT'!$B27)</f>
        <v>DA 1206 TBI</v>
      </c>
      <c r="B506" s="6" t="str">
        <f aca="false">IF($A506="","",INDEX(PlanningItemsList,5))</f>
        <v>Brake Shoe</v>
      </c>
      <c r="C506" s="7"/>
      <c r="D506" s="7"/>
    </row>
    <row r="507" customFormat="false" ht="15" hidden="false" customHeight="false" outlineLevel="0" collapsed="false">
      <c r="A507" s="6" t="str">
        <f aca="false">IF('DATA UNIT'!$B27="","",'DATA UNIT'!$B27)</f>
        <v>DA 1206 TBI</v>
      </c>
      <c r="B507" s="6" t="str">
        <f aca="false">IF($A507="","",INDEX(PlanningItemsList,6))</f>
        <v>Accu</v>
      </c>
      <c r="C507" s="7"/>
      <c r="D507" s="7"/>
    </row>
    <row r="508" customFormat="false" ht="15" hidden="false" customHeight="false" outlineLevel="0" collapsed="false">
      <c r="A508" s="6" t="str">
        <f aca="false">IF('DATA UNIT'!$B27="","",'DATA UNIT'!$B27)</f>
        <v>DA 1206 TBI</v>
      </c>
      <c r="B508" s="6" t="str">
        <f aca="false">IF($A508="","",INDEX(PlanningItemsList,7))</f>
        <v>Kampas Kopling Set</v>
      </c>
      <c r="C508" s="7"/>
      <c r="D508" s="7"/>
    </row>
    <row r="509" customFormat="false" ht="15" hidden="false" customHeight="false" outlineLevel="0" collapsed="false">
      <c r="A509" s="6" t="str">
        <f aca="false">IF('DATA UNIT'!$B27="","",'DATA UNIT'!$B27)</f>
        <v>DA 1206 TBI</v>
      </c>
      <c r="B509" s="6" t="str">
        <f aca="false">IF($A509="","",INDEX(PlanningItemsList,8))</f>
        <v>Wiper Blade</v>
      </c>
      <c r="C509" s="7"/>
      <c r="D509" s="7"/>
    </row>
    <row r="510" customFormat="false" ht="15" hidden="false" customHeight="false" outlineLevel="0" collapsed="false">
      <c r="A510" s="6" t="str">
        <f aca="false">IF('DATA UNIT'!$B27="","",'DATA UNIT'!$B27)</f>
        <v>DA 1206 TBI</v>
      </c>
      <c r="B510" s="6" t="str">
        <f aca="false">IF($A510="","",INDEX(PlanningItemsList,9))</f>
        <v>Ban Depan</v>
      </c>
      <c r="C510" s="7"/>
      <c r="D510" s="7"/>
    </row>
    <row r="511" customFormat="false" ht="15" hidden="false" customHeight="false" outlineLevel="0" collapsed="false">
      <c r="A511" s="6" t="str">
        <f aca="false">IF('DATA UNIT'!$B27="","",'DATA UNIT'!$B27)</f>
        <v>DA 1206 TBI</v>
      </c>
      <c r="B511" s="6" t="str">
        <f aca="false">IF($A511="","",INDEX(PlanningItemsList,10))</f>
        <v>Ban Belakang</v>
      </c>
      <c r="C511" s="7"/>
      <c r="D511" s="7"/>
    </row>
    <row r="512" customFormat="false" ht="15" hidden="false" customHeight="false" outlineLevel="0" collapsed="false">
      <c r="A512" s="6" t="str">
        <f aca="false">IF('DATA UNIT'!$B27="","",'DATA UNIT'!$B27)</f>
        <v>DA 1206 TBI</v>
      </c>
      <c r="B512" s="6" t="str">
        <f aca="false">IF($A512="","",INDEX(PlanningItemsList,11))</f>
        <v>Ban Serep</v>
      </c>
      <c r="C512" s="7"/>
      <c r="D512" s="7"/>
    </row>
    <row r="513" customFormat="false" ht="15" hidden="false" customHeight="false" outlineLevel="0" collapsed="false">
      <c r="A513" s="6" t="str">
        <f aca="false">IF('DATA UNIT'!$B27="","",'DATA UNIT'!$B27)</f>
        <v>DA 1206 TBI</v>
      </c>
      <c r="B513" s="6" t="str">
        <f aca="false">IF($A513="","",INDEX(PlanningItemsList,12))</f>
        <v>Greasing</v>
      </c>
      <c r="C513" s="7"/>
      <c r="D513" s="7"/>
    </row>
    <row r="514" customFormat="false" ht="15" hidden="false" customHeight="false" outlineLevel="0" collapsed="false">
      <c r="A514" s="6" t="str">
        <f aca="false">IF('DATA UNIT'!$B27="","",'DATA UNIT'!$B27)</f>
        <v>DA 1206 TBI</v>
      </c>
      <c r="B514" s="6" t="str">
        <f aca="false">IF($A514="","",INDEX(PlanningItemsList,13))</f>
        <v>V-Belt</v>
      </c>
      <c r="C514" s="7"/>
      <c r="D514" s="7"/>
    </row>
    <row r="515" customFormat="false" ht="15" hidden="false" customHeight="false" outlineLevel="0" collapsed="false">
      <c r="A515" s="6" t="str">
        <f aca="false">IF('DATA UNIT'!$B27="","",'DATA UNIT'!$B27)</f>
        <v>DA 1206 TBI</v>
      </c>
      <c r="B515" s="6" t="str">
        <f aca="false">IF($A515="","",INDEX(PlanningItemsList,14))</f>
        <v>Sarung Jok</v>
      </c>
      <c r="C515" s="7"/>
      <c r="D515" s="7"/>
    </row>
    <row r="516" customFormat="false" ht="15" hidden="false" customHeight="false" outlineLevel="0" collapsed="false">
      <c r="A516" s="6" t="str">
        <f aca="false">IF('DATA UNIT'!$B27="","",'DATA UNIT'!$B27)</f>
        <v>DA 1206 TBI</v>
      </c>
      <c r="B516" s="6" t="str">
        <f aca="false">IF($A516="","",INDEX(PlanningItemsList,15))</f>
        <v>Karpet Karet</v>
      </c>
      <c r="C516" s="7"/>
      <c r="D516" s="7"/>
    </row>
    <row r="517" customFormat="false" ht="15" hidden="false" customHeight="false" outlineLevel="0" collapsed="false">
      <c r="A517" s="6" t="str">
        <f aca="false">IF('DATA UNIT'!$B27="","",'DATA UNIT'!$B27)</f>
        <v>DA 1206 TBI</v>
      </c>
      <c r="B517" s="6" t="str">
        <f aca="false">IF($A517="","",INDEX(PlanningItemsList,16))</f>
        <v>Karpet Dasar</v>
      </c>
      <c r="C517" s="7"/>
      <c r="D517" s="7"/>
    </row>
    <row r="518" customFormat="false" ht="15" hidden="false" customHeight="false" outlineLevel="0" collapsed="false">
      <c r="A518" s="6" t="str">
        <f aca="false">IF('DATA UNIT'!$B27="","",'DATA UNIT'!$B27)</f>
        <v>DA 1206 TBI</v>
      </c>
      <c r="B518" s="6" t="str">
        <f aca="false">IF($A518="","",INDEX(PlanningItemsList,17))</f>
        <v>Flushing Radiator</v>
      </c>
      <c r="C518" s="7"/>
      <c r="D518" s="7"/>
    </row>
    <row r="519" customFormat="false" ht="15" hidden="false" customHeight="false" outlineLevel="0" collapsed="false">
      <c r="A519" s="6" t="str">
        <f aca="false">IF('DATA UNIT'!$B27="","",'DATA UNIT'!$B27)</f>
        <v>DA 1206 TBI</v>
      </c>
      <c r="B519" s="6" t="str">
        <f aca="false">IF($A519="","",INDEX(PlanningItemsList,18))</f>
        <v>Flushing Steering</v>
      </c>
      <c r="C519" s="7"/>
      <c r="D519" s="7"/>
    </row>
    <row r="520" customFormat="false" ht="15" hidden="false" customHeight="false" outlineLevel="0" collapsed="false">
      <c r="A520" s="6" t="str">
        <f aca="false">IF('DATA UNIT'!$B27="","",'DATA UNIT'!$B27)</f>
        <v>DA 1206 TBI</v>
      </c>
      <c r="B520" s="6" t="str">
        <f aca="false">IF($A520="","",INDEX(PlanningItemsList,19))</f>
        <v>Flushing Injector</v>
      </c>
      <c r="C520" s="7"/>
      <c r="D520" s="7"/>
    </row>
    <row r="521" customFormat="false" ht="15" hidden="false" customHeight="false" outlineLevel="0" collapsed="false">
      <c r="A521" s="6" t="str">
        <f aca="false">IF('DATA UNIT'!$B27="","",'DATA UNIT'!$B27)</f>
        <v>DA 1206 TBI</v>
      </c>
      <c r="B521" s="6" t="str">
        <f aca="false">IF($A521="","",INDEX(PlanningItemsList,20))</f>
        <v>Flushing Rem</v>
      </c>
      <c r="C521" s="7"/>
      <c r="D521" s="7"/>
    </row>
    <row r="522" customFormat="false" ht="15" hidden="false" customHeight="false" outlineLevel="0" collapsed="false">
      <c r="A522" s="6" t="str">
        <f aca="false">IF('DATA UNIT'!$B28="","",'DATA UNIT'!$B28)</f>
        <v>DA 8141 BR</v>
      </c>
      <c r="B522" s="6" t="str">
        <f aca="false">IF($A522="","",INDEX(PlanningItemsList,1))</f>
        <v>PM Check / Reguler Services</v>
      </c>
      <c r="C522" s="7"/>
      <c r="D522" s="7"/>
    </row>
    <row r="523" customFormat="false" ht="15" hidden="false" customHeight="false" outlineLevel="0" collapsed="false">
      <c r="A523" s="6" t="str">
        <f aca="false">IF('DATA UNIT'!$B28="","",'DATA UNIT'!$B28)</f>
        <v>DA 8141 BR</v>
      </c>
      <c r="B523" s="6" t="str">
        <f aca="false">IF($A523="","",INDEX(PlanningItemsList,2))</f>
        <v>Service A</v>
      </c>
      <c r="C523" s="7"/>
      <c r="D523" s="7"/>
    </row>
    <row r="524" customFormat="false" ht="15" hidden="false" customHeight="false" outlineLevel="0" collapsed="false">
      <c r="A524" s="6" t="str">
        <f aca="false">IF('DATA UNIT'!$B28="","",'DATA UNIT'!$B28)</f>
        <v>DA 8141 BR</v>
      </c>
      <c r="B524" s="6" t="str">
        <f aca="false">IF($A524="","",INDEX(PlanningItemsList,3))</f>
        <v>Service B</v>
      </c>
      <c r="C524" s="7"/>
      <c r="D524" s="7"/>
    </row>
    <row r="525" customFormat="false" ht="15" hidden="false" customHeight="false" outlineLevel="0" collapsed="false">
      <c r="A525" s="6" t="str">
        <f aca="false">IF('DATA UNIT'!$B28="","",'DATA UNIT'!$B28)</f>
        <v>DA 8141 BR</v>
      </c>
      <c r="B525" s="6" t="str">
        <f aca="false">IF($A525="","",INDEX(PlanningItemsList,4))</f>
        <v>Brake Pad</v>
      </c>
      <c r="C525" s="7"/>
      <c r="D525" s="7"/>
    </row>
    <row r="526" customFormat="false" ht="15" hidden="false" customHeight="false" outlineLevel="0" collapsed="false">
      <c r="A526" s="6" t="str">
        <f aca="false">IF('DATA UNIT'!$B28="","",'DATA UNIT'!$B28)</f>
        <v>DA 8141 BR</v>
      </c>
      <c r="B526" s="6" t="str">
        <f aca="false">IF($A526="","",INDEX(PlanningItemsList,5))</f>
        <v>Brake Shoe</v>
      </c>
      <c r="C526" s="7"/>
      <c r="D526" s="7"/>
    </row>
    <row r="527" customFormat="false" ht="15" hidden="false" customHeight="false" outlineLevel="0" collapsed="false">
      <c r="A527" s="6" t="str">
        <f aca="false">IF('DATA UNIT'!$B28="","",'DATA UNIT'!$B28)</f>
        <v>DA 8141 BR</v>
      </c>
      <c r="B527" s="6" t="str">
        <f aca="false">IF($A527="","",INDEX(PlanningItemsList,6))</f>
        <v>Accu</v>
      </c>
      <c r="C527" s="7"/>
      <c r="D527" s="7"/>
    </row>
    <row r="528" customFormat="false" ht="15" hidden="false" customHeight="false" outlineLevel="0" collapsed="false">
      <c r="A528" s="6" t="str">
        <f aca="false">IF('DATA UNIT'!$B28="","",'DATA UNIT'!$B28)</f>
        <v>DA 8141 BR</v>
      </c>
      <c r="B528" s="6" t="str">
        <f aca="false">IF($A528="","",INDEX(PlanningItemsList,7))</f>
        <v>Kampas Kopling Set</v>
      </c>
      <c r="C528" s="7"/>
      <c r="D528" s="7"/>
    </row>
    <row r="529" customFormat="false" ht="15" hidden="false" customHeight="false" outlineLevel="0" collapsed="false">
      <c r="A529" s="6" t="str">
        <f aca="false">IF('DATA UNIT'!$B28="","",'DATA UNIT'!$B28)</f>
        <v>DA 8141 BR</v>
      </c>
      <c r="B529" s="6" t="str">
        <f aca="false">IF($A529="","",INDEX(PlanningItemsList,8))</f>
        <v>Wiper Blade</v>
      </c>
      <c r="C529" s="7"/>
      <c r="D529" s="7"/>
    </row>
    <row r="530" customFormat="false" ht="15" hidden="false" customHeight="false" outlineLevel="0" collapsed="false">
      <c r="A530" s="6" t="str">
        <f aca="false">IF('DATA UNIT'!$B28="","",'DATA UNIT'!$B28)</f>
        <v>DA 8141 BR</v>
      </c>
      <c r="B530" s="6" t="str">
        <f aca="false">IF($A530="","",INDEX(PlanningItemsList,9))</f>
        <v>Ban Depan</v>
      </c>
      <c r="C530" s="7"/>
      <c r="D530" s="7"/>
    </row>
    <row r="531" customFormat="false" ht="15" hidden="false" customHeight="false" outlineLevel="0" collapsed="false">
      <c r="A531" s="6" t="str">
        <f aca="false">IF('DATA UNIT'!$B28="","",'DATA UNIT'!$B28)</f>
        <v>DA 8141 BR</v>
      </c>
      <c r="B531" s="6" t="str">
        <f aca="false">IF($A531="","",INDEX(PlanningItemsList,10))</f>
        <v>Ban Belakang</v>
      </c>
      <c r="C531" s="7"/>
      <c r="D531" s="7"/>
    </row>
    <row r="532" customFormat="false" ht="15" hidden="false" customHeight="false" outlineLevel="0" collapsed="false">
      <c r="A532" s="6" t="str">
        <f aca="false">IF('DATA UNIT'!$B28="","",'DATA UNIT'!$B28)</f>
        <v>DA 8141 BR</v>
      </c>
      <c r="B532" s="6" t="str">
        <f aca="false">IF($A532="","",INDEX(PlanningItemsList,11))</f>
        <v>Ban Serep</v>
      </c>
      <c r="C532" s="7"/>
      <c r="D532" s="7"/>
    </row>
    <row r="533" customFormat="false" ht="15" hidden="false" customHeight="false" outlineLevel="0" collapsed="false">
      <c r="A533" s="6" t="str">
        <f aca="false">IF('DATA UNIT'!$B28="","",'DATA UNIT'!$B28)</f>
        <v>DA 8141 BR</v>
      </c>
      <c r="B533" s="6" t="str">
        <f aca="false">IF($A533="","",INDEX(PlanningItemsList,12))</f>
        <v>Greasing</v>
      </c>
      <c r="C533" s="7"/>
      <c r="D533" s="7"/>
    </row>
    <row r="534" customFormat="false" ht="15" hidden="false" customHeight="false" outlineLevel="0" collapsed="false">
      <c r="A534" s="6" t="str">
        <f aca="false">IF('DATA UNIT'!$B28="","",'DATA UNIT'!$B28)</f>
        <v>DA 8141 BR</v>
      </c>
      <c r="B534" s="6" t="str">
        <f aca="false">IF($A534="","",INDEX(PlanningItemsList,13))</f>
        <v>V-Belt</v>
      </c>
      <c r="C534" s="7"/>
      <c r="D534" s="7"/>
    </row>
    <row r="535" customFormat="false" ht="15" hidden="false" customHeight="false" outlineLevel="0" collapsed="false">
      <c r="A535" s="6" t="str">
        <f aca="false">IF('DATA UNIT'!$B28="","",'DATA UNIT'!$B28)</f>
        <v>DA 8141 BR</v>
      </c>
      <c r="B535" s="6" t="str">
        <f aca="false">IF($A535="","",INDEX(PlanningItemsList,14))</f>
        <v>Sarung Jok</v>
      </c>
      <c r="C535" s="7"/>
      <c r="D535" s="7"/>
    </row>
    <row r="536" customFormat="false" ht="15" hidden="false" customHeight="false" outlineLevel="0" collapsed="false">
      <c r="A536" s="6" t="str">
        <f aca="false">IF('DATA UNIT'!$B28="","",'DATA UNIT'!$B28)</f>
        <v>DA 8141 BR</v>
      </c>
      <c r="B536" s="6" t="str">
        <f aca="false">IF($A536="","",INDEX(PlanningItemsList,15))</f>
        <v>Karpet Karet</v>
      </c>
      <c r="C536" s="7"/>
      <c r="D536" s="7"/>
    </row>
    <row r="537" customFormat="false" ht="15" hidden="false" customHeight="false" outlineLevel="0" collapsed="false">
      <c r="A537" s="6" t="str">
        <f aca="false">IF('DATA UNIT'!$B28="","",'DATA UNIT'!$B28)</f>
        <v>DA 8141 BR</v>
      </c>
      <c r="B537" s="6" t="str">
        <f aca="false">IF($A537="","",INDEX(PlanningItemsList,16))</f>
        <v>Karpet Dasar</v>
      </c>
      <c r="C537" s="7"/>
      <c r="D537" s="7"/>
    </row>
    <row r="538" customFormat="false" ht="15" hidden="false" customHeight="false" outlineLevel="0" collapsed="false">
      <c r="A538" s="6" t="str">
        <f aca="false">IF('DATA UNIT'!$B28="","",'DATA UNIT'!$B28)</f>
        <v>DA 8141 BR</v>
      </c>
      <c r="B538" s="6" t="str">
        <f aca="false">IF($A538="","",INDEX(PlanningItemsList,17))</f>
        <v>Flushing Radiator</v>
      </c>
      <c r="C538" s="7"/>
      <c r="D538" s="7"/>
    </row>
    <row r="539" customFormat="false" ht="15" hidden="false" customHeight="false" outlineLevel="0" collapsed="false">
      <c r="A539" s="6" t="str">
        <f aca="false">IF('DATA UNIT'!$B28="","",'DATA UNIT'!$B28)</f>
        <v>DA 8141 BR</v>
      </c>
      <c r="B539" s="6" t="str">
        <f aca="false">IF($A539="","",INDEX(PlanningItemsList,18))</f>
        <v>Flushing Steering</v>
      </c>
      <c r="C539" s="7"/>
      <c r="D539" s="7"/>
    </row>
    <row r="540" customFormat="false" ht="15" hidden="false" customHeight="false" outlineLevel="0" collapsed="false">
      <c r="A540" s="6" t="str">
        <f aca="false">IF('DATA UNIT'!$B28="","",'DATA UNIT'!$B28)</f>
        <v>DA 8141 BR</v>
      </c>
      <c r="B540" s="6" t="str">
        <f aca="false">IF($A540="","",INDEX(PlanningItemsList,19))</f>
        <v>Flushing Injector</v>
      </c>
      <c r="C540" s="7"/>
      <c r="D540" s="7"/>
    </row>
    <row r="541" customFormat="false" ht="15" hidden="false" customHeight="false" outlineLevel="0" collapsed="false">
      <c r="A541" s="6" t="str">
        <f aca="false">IF('DATA UNIT'!$B28="","",'DATA UNIT'!$B28)</f>
        <v>DA 8141 BR</v>
      </c>
      <c r="B541" s="6" t="str">
        <f aca="false">IF($A541="","",INDEX(PlanningItemsList,20))</f>
        <v>Flushing Rem</v>
      </c>
      <c r="C541" s="7"/>
      <c r="D541" s="7"/>
    </row>
    <row r="542" customFormat="false" ht="15" hidden="false" customHeight="false" outlineLevel="0" collapsed="false">
      <c r="A542" s="6" t="str">
        <f aca="false">IF('DATA UNIT'!$B29="","",'DATA UNIT'!$B29)</f>
        <v>KT 8420 YS</v>
      </c>
      <c r="B542" s="6" t="str">
        <f aca="false">IF($A542="","",INDEX(PlanningItemsList,1))</f>
        <v>PM Check / Reguler Services</v>
      </c>
      <c r="C542" s="7"/>
      <c r="D542" s="7"/>
    </row>
    <row r="543" customFormat="false" ht="15" hidden="false" customHeight="false" outlineLevel="0" collapsed="false">
      <c r="A543" s="6" t="str">
        <f aca="false">IF('DATA UNIT'!$B29="","",'DATA UNIT'!$B29)</f>
        <v>KT 8420 YS</v>
      </c>
      <c r="B543" s="6" t="str">
        <f aca="false">IF($A543="","",INDEX(PlanningItemsList,2))</f>
        <v>Service A</v>
      </c>
      <c r="C543" s="7"/>
      <c r="D543" s="7"/>
    </row>
    <row r="544" customFormat="false" ht="15" hidden="false" customHeight="false" outlineLevel="0" collapsed="false">
      <c r="A544" s="6" t="str">
        <f aca="false">IF('DATA UNIT'!$B29="","",'DATA UNIT'!$B29)</f>
        <v>KT 8420 YS</v>
      </c>
      <c r="B544" s="6" t="str">
        <f aca="false">IF($A544="","",INDEX(PlanningItemsList,3))</f>
        <v>Service B</v>
      </c>
      <c r="C544" s="7"/>
      <c r="D544" s="7"/>
    </row>
    <row r="545" customFormat="false" ht="15" hidden="false" customHeight="false" outlineLevel="0" collapsed="false">
      <c r="A545" s="6" t="str">
        <f aca="false">IF('DATA UNIT'!$B29="","",'DATA UNIT'!$B29)</f>
        <v>KT 8420 YS</v>
      </c>
      <c r="B545" s="6" t="str">
        <f aca="false">IF($A545="","",INDEX(PlanningItemsList,4))</f>
        <v>Brake Pad</v>
      </c>
      <c r="C545" s="7"/>
      <c r="D545" s="7"/>
    </row>
    <row r="546" customFormat="false" ht="15" hidden="false" customHeight="false" outlineLevel="0" collapsed="false">
      <c r="A546" s="6" t="str">
        <f aca="false">IF('DATA UNIT'!$B29="","",'DATA UNIT'!$B29)</f>
        <v>KT 8420 YS</v>
      </c>
      <c r="B546" s="6" t="str">
        <f aca="false">IF($A546="","",INDEX(PlanningItemsList,5))</f>
        <v>Brake Shoe</v>
      </c>
      <c r="C546" s="7"/>
      <c r="D546" s="7"/>
    </row>
    <row r="547" customFormat="false" ht="15" hidden="false" customHeight="false" outlineLevel="0" collapsed="false">
      <c r="A547" s="6" t="str">
        <f aca="false">IF('DATA UNIT'!$B29="","",'DATA UNIT'!$B29)</f>
        <v>KT 8420 YS</v>
      </c>
      <c r="B547" s="6" t="str">
        <f aca="false">IF($A547="","",INDEX(PlanningItemsList,6))</f>
        <v>Accu</v>
      </c>
      <c r="C547" s="7"/>
      <c r="D547" s="7"/>
    </row>
    <row r="548" customFormat="false" ht="15" hidden="false" customHeight="false" outlineLevel="0" collapsed="false">
      <c r="A548" s="6" t="str">
        <f aca="false">IF('DATA UNIT'!$B29="","",'DATA UNIT'!$B29)</f>
        <v>KT 8420 YS</v>
      </c>
      <c r="B548" s="6" t="str">
        <f aca="false">IF($A548="","",INDEX(PlanningItemsList,7))</f>
        <v>Kampas Kopling Set</v>
      </c>
      <c r="C548" s="7"/>
      <c r="D548" s="7"/>
    </row>
    <row r="549" customFormat="false" ht="15" hidden="false" customHeight="false" outlineLevel="0" collapsed="false">
      <c r="A549" s="6" t="str">
        <f aca="false">IF('DATA UNIT'!$B29="","",'DATA UNIT'!$B29)</f>
        <v>KT 8420 YS</v>
      </c>
      <c r="B549" s="6" t="str">
        <f aca="false">IF($A549="","",INDEX(PlanningItemsList,8))</f>
        <v>Wiper Blade</v>
      </c>
      <c r="C549" s="7"/>
      <c r="D549" s="7"/>
    </row>
    <row r="550" customFormat="false" ht="15" hidden="false" customHeight="false" outlineLevel="0" collapsed="false">
      <c r="A550" s="6" t="str">
        <f aca="false">IF('DATA UNIT'!$B29="","",'DATA UNIT'!$B29)</f>
        <v>KT 8420 YS</v>
      </c>
      <c r="B550" s="6" t="str">
        <f aca="false">IF($A550="","",INDEX(PlanningItemsList,9))</f>
        <v>Ban Depan</v>
      </c>
      <c r="C550" s="7"/>
      <c r="D550" s="7"/>
    </row>
    <row r="551" customFormat="false" ht="15" hidden="false" customHeight="false" outlineLevel="0" collapsed="false">
      <c r="A551" s="6" t="str">
        <f aca="false">IF('DATA UNIT'!$B29="","",'DATA UNIT'!$B29)</f>
        <v>KT 8420 YS</v>
      </c>
      <c r="B551" s="6" t="str">
        <f aca="false">IF($A551="","",INDEX(PlanningItemsList,10))</f>
        <v>Ban Belakang</v>
      </c>
      <c r="C551" s="7"/>
      <c r="D551" s="7"/>
    </row>
    <row r="552" customFormat="false" ht="15" hidden="false" customHeight="false" outlineLevel="0" collapsed="false">
      <c r="A552" s="6" t="str">
        <f aca="false">IF('DATA UNIT'!$B29="","",'DATA UNIT'!$B29)</f>
        <v>KT 8420 YS</v>
      </c>
      <c r="B552" s="6" t="str">
        <f aca="false">IF($A552="","",INDEX(PlanningItemsList,11))</f>
        <v>Ban Serep</v>
      </c>
      <c r="C552" s="7"/>
      <c r="D552" s="7"/>
    </row>
    <row r="553" customFormat="false" ht="15" hidden="false" customHeight="false" outlineLevel="0" collapsed="false">
      <c r="A553" s="6" t="str">
        <f aca="false">IF('DATA UNIT'!$B29="","",'DATA UNIT'!$B29)</f>
        <v>KT 8420 YS</v>
      </c>
      <c r="B553" s="6" t="str">
        <f aca="false">IF($A553="","",INDEX(PlanningItemsList,12))</f>
        <v>Greasing</v>
      </c>
      <c r="C553" s="7"/>
      <c r="D553" s="7"/>
    </row>
    <row r="554" customFormat="false" ht="15" hidden="false" customHeight="false" outlineLevel="0" collapsed="false">
      <c r="A554" s="6" t="str">
        <f aca="false">IF('DATA UNIT'!$B29="","",'DATA UNIT'!$B29)</f>
        <v>KT 8420 YS</v>
      </c>
      <c r="B554" s="6" t="str">
        <f aca="false">IF($A554="","",INDEX(PlanningItemsList,13))</f>
        <v>V-Belt</v>
      </c>
      <c r="C554" s="7"/>
      <c r="D554" s="7"/>
    </row>
    <row r="555" customFormat="false" ht="15" hidden="false" customHeight="false" outlineLevel="0" collapsed="false">
      <c r="A555" s="6" t="str">
        <f aca="false">IF('DATA UNIT'!$B29="","",'DATA UNIT'!$B29)</f>
        <v>KT 8420 YS</v>
      </c>
      <c r="B555" s="6" t="str">
        <f aca="false">IF($A555="","",INDEX(PlanningItemsList,14))</f>
        <v>Sarung Jok</v>
      </c>
      <c r="C555" s="7"/>
      <c r="D555" s="7"/>
    </row>
    <row r="556" customFormat="false" ht="15" hidden="false" customHeight="false" outlineLevel="0" collapsed="false">
      <c r="A556" s="6" t="str">
        <f aca="false">IF('DATA UNIT'!$B29="","",'DATA UNIT'!$B29)</f>
        <v>KT 8420 YS</v>
      </c>
      <c r="B556" s="6" t="str">
        <f aca="false">IF($A556="","",INDEX(PlanningItemsList,15))</f>
        <v>Karpet Karet</v>
      </c>
      <c r="C556" s="7"/>
      <c r="D556" s="7"/>
    </row>
    <row r="557" customFormat="false" ht="15" hidden="false" customHeight="false" outlineLevel="0" collapsed="false">
      <c r="A557" s="6" t="str">
        <f aca="false">IF('DATA UNIT'!$B29="","",'DATA UNIT'!$B29)</f>
        <v>KT 8420 YS</v>
      </c>
      <c r="B557" s="6" t="str">
        <f aca="false">IF($A557="","",INDEX(PlanningItemsList,16))</f>
        <v>Karpet Dasar</v>
      </c>
      <c r="C557" s="7"/>
      <c r="D557" s="7"/>
    </row>
    <row r="558" customFormat="false" ht="15" hidden="false" customHeight="false" outlineLevel="0" collapsed="false">
      <c r="A558" s="6" t="str">
        <f aca="false">IF('DATA UNIT'!$B29="","",'DATA UNIT'!$B29)</f>
        <v>KT 8420 YS</v>
      </c>
      <c r="B558" s="6" t="str">
        <f aca="false">IF($A558="","",INDEX(PlanningItemsList,17))</f>
        <v>Flushing Radiator</v>
      </c>
      <c r="C558" s="7"/>
      <c r="D558" s="7"/>
    </row>
    <row r="559" customFormat="false" ht="15" hidden="false" customHeight="false" outlineLevel="0" collapsed="false">
      <c r="A559" s="6" t="str">
        <f aca="false">IF('DATA UNIT'!$B29="","",'DATA UNIT'!$B29)</f>
        <v>KT 8420 YS</v>
      </c>
      <c r="B559" s="6" t="str">
        <f aca="false">IF($A559="","",INDEX(PlanningItemsList,18))</f>
        <v>Flushing Steering</v>
      </c>
      <c r="C559" s="7"/>
      <c r="D559" s="7"/>
    </row>
    <row r="560" customFormat="false" ht="15" hidden="false" customHeight="false" outlineLevel="0" collapsed="false">
      <c r="A560" s="6" t="str">
        <f aca="false">IF('DATA UNIT'!$B29="","",'DATA UNIT'!$B29)</f>
        <v>KT 8420 YS</v>
      </c>
      <c r="B560" s="6" t="str">
        <f aca="false">IF($A560="","",INDEX(PlanningItemsList,19))</f>
        <v>Flushing Injector</v>
      </c>
      <c r="C560" s="7"/>
      <c r="D560" s="7"/>
    </row>
    <row r="561" customFormat="false" ht="15" hidden="false" customHeight="false" outlineLevel="0" collapsed="false">
      <c r="A561" s="6" t="str">
        <f aca="false">IF('DATA UNIT'!$B29="","",'DATA UNIT'!$B29)</f>
        <v>KT 8420 YS</v>
      </c>
      <c r="B561" s="6" t="str">
        <f aca="false">IF($A561="","",INDEX(PlanningItemsList,20))</f>
        <v>Flushing Rem</v>
      </c>
      <c r="C561" s="7"/>
      <c r="D561" s="7"/>
    </row>
    <row r="562" customFormat="false" ht="15" hidden="false" customHeight="false" outlineLevel="0" collapsed="false">
      <c r="A562" s="6" t="str">
        <f aca="false">IF('DATA UNIT'!$B30="","",'DATA UNIT'!$B30)</f>
        <v>KT 8418 YS</v>
      </c>
      <c r="B562" s="6" t="str">
        <f aca="false">IF($A562="","",INDEX(PlanningItemsList,1))</f>
        <v>PM Check / Reguler Services</v>
      </c>
      <c r="C562" s="7"/>
      <c r="D562" s="7"/>
    </row>
    <row r="563" customFormat="false" ht="15" hidden="false" customHeight="false" outlineLevel="0" collapsed="false">
      <c r="A563" s="6" t="str">
        <f aca="false">IF('DATA UNIT'!$B30="","",'DATA UNIT'!$B30)</f>
        <v>KT 8418 YS</v>
      </c>
      <c r="B563" s="6" t="str">
        <f aca="false">IF($A563="","",INDEX(PlanningItemsList,2))</f>
        <v>Service A</v>
      </c>
      <c r="C563" s="7"/>
      <c r="D563" s="7"/>
    </row>
    <row r="564" customFormat="false" ht="15" hidden="false" customHeight="false" outlineLevel="0" collapsed="false">
      <c r="A564" s="6" t="str">
        <f aca="false">IF('DATA UNIT'!$B30="","",'DATA UNIT'!$B30)</f>
        <v>KT 8418 YS</v>
      </c>
      <c r="B564" s="6" t="str">
        <f aca="false">IF($A564="","",INDEX(PlanningItemsList,3))</f>
        <v>Service B</v>
      </c>
      <c r="C564" s="7"/>
      <c r="D564" s="7"/>
    </row>
    <row r="565" customFormat="false" ht="15" hidden="false" customHeight="false" outlineLevel="0" collapsed="false">
      <c r="A565" s="6" t="str">
        <f aca="false">IF('DATA UNIT'!$B30="","",'DATA UNIT'!$B30)</f>
        <v>KT 8418 YS</v>
      </c>
      <c r="B565" s="6" t="str">
        <f aca="false">IF($A565="","",INDEX(PlanningItemsList,4))</f>
        <v>Brake Pad</v>
      </c>
      <c r="C565" s="7"/>
      <c r="D565" s="7"/>
    </row>
    <row r="566" customFormat="false" ht="15" hidden="false" customHeight="false" outlineLevel="0" collapsed="false">
      <c r="A566" s="6" t="str">
        <f aca="false">IF('DATA UNIT'!$B30="","",'DATA UNIT'!$B30)</f>
        <v>KT 8418 YS</v>
      </c>
      <c r="B566" s="6" t="str">
        <f aca="false">IF($A566="","",INDEX(PlanningItemsList,5))</f>
        <v>Brake Shoe</v>
      </c>
      <c r="C566" s="7"/>
      <c r="D566" s="7"/>
    </row>
    <row r="567" customFormat="false" ht="15" hidden="false" customHeight="false" outlineLevel="0" collapsed="false">
      <c r="A567" s="6" t="str">
        <f aca="false">IF('DATA UNIT'!$B30="","",'DATA UNIT'!$B30)</f>
        <v>KT 8418 YS</v>
      </c>
      <c r="B567" s="6" t="str">
        <f aca="false">IF($A567="","",INDEX(PlanningItemsList,6))</f>
        <v>Accu</v>
      </c>
      <c r="C567" s="7"/>
      <c r="D567" s="7"/>
    </row>
    <row r="568" customFormat="false" ht="15" hidden="false" customHeight="false" outlineLevel="0" collapsed="false">
      <c r="A568" s="6" t="str">
        <f aca="false">IF('DATA UNIT'!$B30="","",'DATA UNIT'!$B30)</f>
        <v>KT 8418 YS</v>
      </c>
      <c r="B568" s="6" t="str">
        <f aca="false">IF($A568="","",INDEX(PlanningItemsList,7))</f>
        <v>Kampas Kopling Set</v>
      </c>
      <c r="C568" s="7"/>
      <c r="D568" s="7"/>
    </row>
    <row r="569" customFormat="false" ht="15" hidden="false" customHeight="false" outlineLevel="0" collapsed="false">
      <c r="A569" s="6" t="str">
        <f aca="false">IF('DATA UNIT'!$B30="","",'DATA UNIT'!$B30)</f>
        <v>KT 8418 YS</v>
      </c>
      <c r="B569" s="6" t="str">
        <f aca="false">IF($A569="","",INDEX(PlanningItemsList,8))</f>
        <v>Wiper Blade</v>
      </c>
      <c r="C569" s="7"/>
      <c r="D569" s="7"/>
    </row>
    <row r="570" customFormat="false" ht="15" hidden="false" customHeight="false" outlineLevel="0" collapsed="false">
      <c r="A570" s="6" t="str">
        <f aca="false">IF('DATA UNIT'!$B30="","",'DATA UNIT'!$B30)</f>
        <v>KT 8418 YS</v>
      </c>
      <c r="B570" s="6" t="str">
        <f aca="false">IF($A570="","",INDEX(PlanningItemsList,9))</f>
        <v>Ban Depan</v>
      </c>
      <c r="C570" s="7"/>
      <c r="D570" s="7"/>
    </row>
    <row r="571" customFormat="false" ht="15" hidden="false" customHeight="false" outlineLevel="0" collapsed="false">
      <c r="A571" s="6" t="str">
        <f aca="false">IF('DATA UNIT'!$B30="","",'DATA UNIT'!$B30)</f>
        <v>KT 8418 YS</v>
      </c>
      <c r="B571" s="6" t="str">
        <f aca="false">IF($A571="","",INDEX(PlanningItemsList,10))</f>
        <v>Ban Belakang</v>
      </c>
      <c r="C571" s="7"/>
      <c r="D571" s="7"/>
    </row>
    <row r="572" customFormat="false" ht="15" hidden="false" customHeight="false" outlineLevel="0" collapsed="false">
      <c r="A572" s="6" t="str">
        <f aca="false">IF('DATA UNIT'!$B30="","",'DATA UNIT'!$B30)</f>
        <v>KT 8418 YS</v>
      </c>
      <c r="B572" s="6" t="str">
        <f aca="false">IF($A572="","",INDEX(PlanningItemsList,11))</f>
        <v>Ban Serep</v>
      </c>
      <c r="C572" s="7"/>
      <c r="D572" s="7"/>
    </row>
    <row r="573" customFormat="false" ht="15" hidden="false" customHeight="false" outlineLevel="0" collapsed="false">
      <c r="A573" s="6" t="str">
        <f aca="false">IF('DATA UNIT'!$B30="","",'DATA UNIT'!$B30)</f>
        <v>KT 8418 YS</v>
      </c>
      <c r="B573" s="6" t="str">
        <f aca="false">IF($A573="","",INDEX(PlanningItemsList,12))</f>
        <v>Greasing</v>
      </c>
      <c r="C573" s="7"/>
      <c r="D573" s="7"/>
    </row>
    <row r="574" customFormat="false" ht="15" hidden="false" customHeight="false" outlineLevel="0" collapsed="false">
      <c r="A574" s="6" t="str">
        <f aca="false">IF('DATA UNIT'!$B30="","",'DATA UNIT'!$B30)</f>
        <v>KT 8418 YS</v>
      </c>
      <c r="B574" s="6" t="str">
        <f aca="false">IF($A574="","",INDEX(PlanningItemsList,13))</f>
        <v>V-Belt</v>
      </c>
      <c r="C574" s="7"/>
      <c r="D574" s="7"/>
    </row>
    <row r="575" customFormat="false" ht="15" hidden="false" customHeight="false" outlineLevel="0" collapsed="false">
      <c r="A575" s="6" t="str">
        <f aca="false">IF('DATA UNIT'!$B30="","",'DATA UNIT'!$B30)</f>
        <v>KT 8418 YS</v>
      </c>
      <c r="B575" s="6" t="str">
        <f aca="false">IF($A575="","",INDEX(PlanningItemsList,14))</f>
        <v>Sarung Jok</v>
      </c>
      <c r="C575" s="7"/>
      <c r="D575" s="7"/>
    </row>
    <row r="576" customFormat="false" ht="15" hidden="false" customHeight="false" outlineLevel="0" collapsed="false">
      <c r="A576" s="6" t="str">
        <f aca="false">IF('DATA UNIT'!$B30="","",'DATA UNIT'!$B30)</f>
        <v>KT 8418 YS</v>
      </c>
      <c r="B576" s="6" t="str">
        <f aca="false">IF($A576="","",INDEX(PlanningItemsList,15))</f>
        <v>Karpet Karet</v>
      </c>
      <c r="C576" s="7"/>
      <c r="D576" s="7"/>
    </row>
    <row r="577" customFormat="false" ht="15" hidden="false" customHeight="false" outlineLevel="0" collapsed="false">
      <c r="A577" s="6" t="str">
        <f aca="false">IF('DATA UNIT'!$B30="","",'DATA UNIT'!$B30)</f>
        <v>KT 8418 YS</v>
      </c>
      <c r="B577" s="6" t="str">
        <f aca="false">IF($A577="","",INDEX(PlanningItemsList,16))</f>
        <v>Karpet Dasar</v>
      </c>
      <c r="C577" s="7"/>
      <c r="D577" s="7"/>
    </row>
    <row r="578" customFormat="false" ht="15" hidden="false" customHeight="false" outlineLevel="0" collapsed="false">
      <c r="A578" s="6" t="str">
        <f aca="false">IF('DATA UNIT'!$B30="","",'DATA UNIT'!$B30)</f>
        <v>KT 8418 YS</v>
      </c>
      <c r="B578" s="6" t="str">
        <f aca="false">IF($A578="","",INDEX(PlanningItemsList,17))</f>
        <v>Flushing Radiator</v>
      </c>
      <c r="C578" s="7"/>
      <c r="D578" s="7"/>
    </row>
    <row r="579" customFormat="false" ht="15" hidden="false" customHeight="false" outlineLevel="0" collapsed="false">
      <c r="A579" s="6" t="str">
        <f aca="false">IF('DATA UNIT'!$B30="","",'DATA UNIT'!$B30)</f>
        <v>KT 8418 YS</v>
      </c>
      <c r="B579" s="6" t="str">
        <f aca="false">IF($A579="","",INDEX(PlanningItemsList,18))</f>
        <v>Flushing Steering</v>
      </c>
      <c r="C579" s="7"/>
      <c r="D579" s="7"/>
    </row>
    <row r="580" customFormat="false" ht="15" hidden="false" customHeight="false" outlineLevel="0" collapsed="false">
      <c r="A580" s="6" t="str">
        <f aca="false">IF('DATA UNIT'!$B30="","",'DATA UNIT'!$B30)</f>
        <v>KT 8418 YS</v>
      </c>
      <c r="B580" s="6" t="str">
        <f aca="false">IF($A580="","",INDEX(PlanningItemsList,19))</f>
        <v>Flushing Injector</v>
      </c>
      <c r="C580" s="7"/>
      <c r="D580" s="7"/>
    </row>
    <row r="581" customFormat="false" ht="15" hidden="false" customHeight="false" outlineLevel="0" collapsed="false">
      <c r="A581" s="6" t="str">
        <f aca="false">IF('DATA UNIT'!$B30="","",'DATA UNIT'!$B30)</f>
        <v>KT 8418 YS</v>
      </c>
      <c r="B581" s="6" t="str">
        <f aca="false">IF($A581="","",INDEX(PlanningItemsList,20))</f>
        <v>Flushing Rem</v>
      </c>
      <c r="C581" s="7"/>
      <c r="D581" s="7"/>
    </row>
    <row r="582" customFormat="false" ht="15" hidden="false" customHeight="false" outlineLevel="0" collapsed="false">
      <c r="A582" s="6" t="str">
        <f aca="false">IF('DATA UNIT'!$B31="","",'DATA UNIT'!$B31)</f>
        <v>DD 8547 UB</v>
      </c>
      <c r="B582" s="6" t="str">
        <f aca="false">IF($A582="","",INDEX(PlanningItemsList,1))</f>
        <v>PM Check / Reguler Services</v>
      </c>
      <c r="C582" s="7"/>
      <c r="D582" s="7"/>
    </row>
    <row r="583" customFormat="false" ht="15" hidden="false" customHeight="false" outlineLevel="0" collapsed="false">
      <c r="A583" s="6" t="str">
        <f aca="false">IF('DATA UNIT'!$B31="","",'DATA UNIT'!$B31)</f>
        <v>DD 8547 UB</v>
      </c>
      <c r="B583" s="6" t="str">
        <f aca="false">IF($A583="","",INDEX(PlanningItemsList,2))</f>
        <v>Service A</v>
      </c>
      <c r="C583" s="7"/>
      <c r="D583" s="7"/>
    </row>
    <row r="584" customFormat="false" ht="15" hidden="false" customHeight="false" outlineLevel="0" collapsed="false">
      <c r="A584" s="6" t="str">
        <f aca="false">IF('DATA UNIT'!$B31="","",'DATA UNIT'!$B31)</f>
        <v>DD 8547 UB</v>
      </c>
      <c r="B584" s="6" t="str">
        <f aca="false">IF($A584="","",INDEX(PlanningItemsList,3))</f>
        <v>Service B</v>
      </c>
      <c r="C584" s="7"/>
      <c r="D584" s="7"/>
    </row>
    <row r="585" customFormat="false" ht="15" hidden="false" customHeight="false" outlineLevel="0" collapsed="false">
      <c r="A585" s="6" t="str">
        <f aca="false">IF('DATA UNIT'!$B31="","",'DATA UNIT'!$B31)</f>
        <v>DD 8547 UB</v>
      </c>
      <c r="B585" s="6" t="str">
        <f aca="false">IF($A585="","",INDEX(PlanningItemsList,4))</f>
        <v>Brake Pad</v>
      </c>
      <c r="C585" s="7"/>
      <c r="D585" s="7"/>
    </row>
    <row r="586" customFormat="false" ht="15" hidden="false" customHeight="false" outlineLevel="0" collapsed="false">
      <c r="A586" s="6" t="str">
        <f aca="false">IF('DATA UNIT'!$B31="","",'DATA UNIT'!$B31)</f>
        <v>DD 8547 UB</v>
      </c>
      <c r="B586" s="6" t="str">
        <f aca="false">IF($A586="","",INDEX(PlanningItemsList,5))</f>
        <v>Brake Shoe</v>
      </c>
      <c r="C586" s="7"/>
      <c r="D586" s="7"/>
    </row>
    <row r="587" customFormat="false" ht="15" hidden="false" customHeight="false" outlineLevel="0" collapsed="false">
      <c r="A587" s="6" t="str">
        <f aca="false">IF('DATA UNIT'!$B31="","",'DATA UNIT'!$B31)</f>
        <v>DD 8547 UB</v>
      </c>
      <c r="B587" s="6" t="str">
        <f aca="false">IF($A587="","",INDEX(PlanningItemsList,6))</f>
        <v>Accu</v>
      </c>
      <c r="C587" s="7"/>
      <c r="D587" s="7"/>
    </row>
    <row r="588" customFormat="false" ht="15" hidden="false" customHeight="false" outlineLevel="0" collapsed="false">
      <c r="A588" s="6" t="str">
        <f aca="false">IF('DATA UNIT'!$B31="","",'DATA UNIT'!$B31)</f>
        <v>DD 8547 UB</v>
      </c>
      <c r="B588" s="6" t="str">
        <f aca="false">IF($A588="","",INDEX(PlanningItemsList,7))</f>
        <v>Kampas Kopling Set</v>
      </c>
      <c r="C588" s="7"/>
      <c r="D588" s="7"/>
    </row>
    <row r="589" customFormat="false" ht="15" hidden="false" customHeight="false" outlineLevel="0" collapsed="false">
      <c r="A589" s="6" t="str">
        <f aca="false">IF('DATA UNIT'!$B31="","",'DATA UNIT'!$B31)</f>
        <v>DD 8547 UB</v>
      </c>
      <c r="B589" s="6" t="str">
        <f aca="false">IF($A589="","",INDEX(PlanningItemsList,8))</f>
        <v>Wiper Blade</v>
      </c>
      <c r="C589" s="7"/>
      <c r="D589" s="7"/>
    </row>
    <row r="590" customFormat="false" ht="15" hidden="false" customHeight="false" outlineLevel="0" collapsed="false">
      <c r="A590" s="6" t="str">
        <f aca="false">IF('DATA UNIT'!$B31="","",'DATA UNIT'!$B31)</f>
        <v>DD 8547 UB</v>
      </c>
      <c r="B590" s="6" t="str">
        <f aca="false">IF($A590="","",INDEX(PlanningItemsList,9))</f>
        <v>Ban Depan</v>
      </c>
      <c r="C590" s="7"/>
      <c r="D590" s="7"/>
    </row>
    <row r="591" customFormat="false" ht="15" hidden="false" customHeight="false" outlineLevel="0" collapsed="false">
      <c r="A591" s="6" t="str">
        <f aca="false">IF('DATA UNIT'!$B31="","",'DATA UNIT'!$B31)</f>
        <v>DD 8547 UB</v>
      </c>
      <c r="B591" s="6" t="str">
        <f aca="false">IF($A591="","",INDEX(PlanningItemsList,10))</f>
        <v>Ban Belakang</v>
      </c>
      <c r="C591" s="7"/>
      <c r="D591" s="7"/>
    </row>
    <row r="592" customFormat="false" ht="15" hidden="false" customHeight="false" outlineLevel="0" collapsed="false">
      <c r="A592" s="6" t="str">
        <f aca="false">IF('DATA UNIT'!$B31="","",'DATA UNIT'!$B31)</f>
        <v>DD 8547 UB</v>
      </c>
      <c r="B592" s="6" t="str">
        <f aca="false">IF($A592="","",INDEX(PlanningItemsList,11))</f>
        <v>Ban Serep</v>
      </c>
      <c r="C592" s="7"/>
      <c r="D592" s="7"/>
    </row>
    <row r="593" customFormat="false" ht="15" hidden="false" customHeight="false" outlineLevel="0" collapsed="false">
      <c r="A593" s="6" t="str">
        <f aca="false">IF('DATA UNIT'!$B31="","",'DATA UNIT'!$B31)</f>
        <v>DD 8547 UB</v>
      </c>
      <c r="B593" s="6" t="str">
        <f aca="false">IF($A593="","",INDEX(PlanningItemsList,12))</f>
        <v>Greasing</v>
      </c>
      <c r="C593" s="7"/>
      <c r="D593" s="7"/>
    </row>
    <row r="594" customFormat="false" ht="15" hidden="false" customHeight="false" outlineLevel="0" collapsed="false">
      <c r="A594" s="6" t="str">
        <f aca="false">IF('DATA UNIT'!$B31="","",'DATA UNIT'!$B31)</f>
        <v>DD 8547 UB</v>
      </c>
      <c r="B594" s="6" t="str">
        <f aca="false">IF($A594="","",INDEX(PlanningItemsList,13))</f>
        <v>V-Belt</v>
      </c>
      <c r="C594" s="7"/>
      <c r="D594" s="7"/>
    </row>
    <row r="595" customFormat="false" ht="15" hidden="false" customHeight="false" outlineLevel="0" collapsed="false">
      <c r="A595" s="6" t="str">
        <f aca="false">IF('DATA UNIT'!$B31="","",'DATA UNIT'!$B31)</f>
        <v>DD 8547 UB</v>
      </c>
      <c r="B595" s="6" t="str">
        <f aca="false">IF($A595="","",INDEX(PlanningItemsList,14))</f>
        <v>Sarung Jok</v>
      </c>
      <c r="C595" s="7"/>
      <c r="D595" s="7"/>
    </row>
    <row r="596" customFormat="false" ht="15" hidden="false" customHeight="false" outlineLevel="0" collapsed="false">
      <c r="A596" s="6" t="str">
        <f aca="false">IF('DATA UNIT'!$B31="","",'DATA UNIT'!$B31)</f>
        <v>DD 8547 UB</v>
      </c>
      <c r="B596" s="6" t="str">
        <f aca="false">IF($A596="","",INDEX(PlanningItemsList,15))</f>
        <v>Karpet Karet</v>
      </c>
      <c r="C596" s="7"/>
      <c r="D596" s="7"/>
    </row>
    <row r="597" customFormat="false" ht="15" hidden="false" customHeight="false" outlineLevel="0" collapsed="false">
      <c r="A597" s="6" t="str">
        <f aca="false">IF('DATA UNIT'!$B31="","",'DATA UNIT'!$B31)</f>
        <v>DD 8547 UB</v>
      </c>
      <c r="B597" s="6" t="str">
        <f aca="false">IF($A597="","",INDEX(PlanningItemsList,16))</f>
        <v>Karpet Dasar</v>
      </c>
      <c r="C597" s="7"/>
      <c r="D597" s="7"/>
    </row>
    <row r="598" customFormat="false" ht="15" hidden="false" customHeight="false" outlineLevel="0" collapsed="false">
      <c r="A598" s="6" t="str">
        <f aca="false">IF('DATA UNIT'!$B31="","",'DATA UNIT'!$B31)</f>
        <v>DD 8547 UB</v>
      </c>
      <c r="B598" s="6" t="str">
        <f aca="false">IF($A598="","",INDEX(PlanningItemsList,17))</f>
        <v>Flushing Radiator</v>
      </c>
      <c r="C598" s="7"/>
      <c r="D598" s="7"/>
    </row>
    <row r="599" customFormat="false" ht="15" hidden="false" customHeight="false" outlineLevel="0" collapsed="false">
      <c r="A599" s="6" t="str">
        <f aca="false">IF('DATA UNIT'!$B31="","",'DATA UNIT'!$B31)</f>
        <v>DD 8547 UB</v>
      </c>
      <c r="B599" s="6" t="str">
        <f aca="false">IF($A599="","",INDEX(PlanningItemsList,18))</f>
        <v>Flushing Steering</v>
      </c>
      <c r="C599" s="7"/>
      <c r="D599" s="7"/>
    </row>
    <row r="600" customFormat="false" ht="15" hidden="false" customHeight="false" outlineLevel="0" collapsed="false">
      <c r="A600" s="6" t="str">
        <f aca="false">IF('DATA UNIT'!$B31="","",'DATA UNIT'!$B31)</f>
        <v>DD 8547 UB</v>
      </c>
      <c r="B600" s="6" t="str">
        <f aca="false">IF($A600="","",INDEX(PlanningItemsList,19))</f>
        <v>Flushing Injector</v>
      </c>
      <c r="C600" s="7"/>
      <c r="D600" s="7"/>
    </row>
    <row r="601" customFormat="false" ht="15" hidden="false" customHeight="false" outlineLevel="0" collapsed="false">
      <c r="A601" s="6" t="str">
        <f aca="false">IF('DATA UNIT'!$B31="","",'DATA UNIT'!$B31)</f>
        <v>DD 8547 UB</v>
      </c>
      <c r="B601" s="6" t="str">
        <f aca="false">IF($A601="","",INDEX(PlanningItemsList,20))</f>
        <v>Flushing Rem</v>
      </c>
      <c r="C601" s="7"/>
      <c r="D601" s="7"/>
    </row>
    <row r="602" customFormat="false" ht="15" hidden="false" customHeight="false" outlineLevel="0" collapsed="false">
      <c r="A602" s="6" t="str">
        <f aca="false">IF('DATA UNIT'!$B32="","",'DATA UNIT'!$B32)</f>
        <v>DD 8550 UB</v>
      </c>
      <c r="B602" s="6" t="str">
        <f aca="false">IF($A602="","",INDEX(PlanningItemsList,1))</f>
        <v>PM Check / Reguler Services</v>
      </c>
      <c r="C602" s="7"/>
      <c r="D602" s="7"/>
    </row>
    <row r="603" customFormat="false" ht="15" hidden="false" customHeight="false" outlineLevel="0" collapsed="false">
      <c r="A603" s="6" t="str">
        <f aca="false">IF('DATA UNIT'!$B32="","",'DATA UNIT'!$B32)</f>
        <v>DD 8550 UB</v>
      </c>
      <c r="B603" s="6" t="str">
        <f aca="false">IF($A603="","",INDEX(PlanningItemsList,2))</f>
        <v>Service A</v>
      </c>
      <c r="C603" s="7"/>
      <c r="D603" s="7"/>
    </row>
    <row r="604" customFormat="false" ht="15" hidden="false" customHeight="false" outlineLevel="0" collapsed="false">
      <c r="A604" s="6" t="str">
        <f aca="false">IF('DATA UNIT'!$B32="","",'DATA UNIT'!$B32)</f>
        <v>DD 8550 UB</v>
      </c>
      <c r="B604" s="6" t="str">
        <f aca="false">IF($A604="","",INDEX(PlanningItemsList,3))</f>
        <v>Service B</v>
      </c>
      <c r="C604" s="7"/>
      <c r="D604" s="7"/>
    </row>
    <row r="605" customFormat="false" ht="15" hidden="false" customHeight="false" outlineLevel="0" collapsed="false">
      <c r="A605" s="6" t="str">
        <f aca="false">IF('DATA UNIT'!$B32="","",'DATA UNIT'!$B32)</f>
        <v>DD 8550 UB</v>
      </c>
      <c r="B605" s="6" t="str">
        <f aca="false">IF($A605="","",INDEX(PlanningItemsList,4))</f>
        <v>Brake Pad</v>
      </c>
      <c r="C605" s="7"/>
      <c r="D605" s="7"/>
    </row>
    <row r="606" customFormat="false" ht="15" hidden="false" customHeight="false" outlineLevel="0" collapsed="false">
      <c r="A606" s="6" t="str">
        <f aca="false">IF('DATA UNIT'!$B32="","",'DATA UNIT'!$B32)</f>
        <v>DD 8550 UB</v>
      </c>
      <c r="B606" s="6" t="str">
        <f aca="false">IF($A606="","",INDEX(PlanningItemsList,5))</f>
        <v>Brake Shoe</v>
      </c>
      <c r="C606" s="7"/>
      <c r="D606" s="7"/>
    </row>
    <row r="607" customFormat="false" ht="15" hidden="false" customHeight="false" outlineLevel="0" collapsed="false">
      <c r="A607" s="6" t="str">
        <f aca="false">IF('DATA UNIT'!$B32="","",'DATA UNIT'!$B32)</f>
        <v>DD 8550 UB</v>
      </c>
      <c r="B607" s="6" t="str">
        <f aca="false">IF($A607="","",INDEX(PlanningItemsList,6))</f>
        <v>Accu</v>
      </c>
      <c r="C607" s="7"/>
      <c r="D607" s="7"/>
    </row>
    <row r="608" customFormat="false" ht="15" hidden="false" customHeight="false" outlineLevel="0" collapsed="false">
      <c r="A608" s="6" t="str">
        <f aca="false">IF('DATA UNIT'!$B32="","",'DATA UNIT'!$B32)</f>
        <v>DD 8550 UB</v>
      </c>
      <c r="B608" s="6" t="str">
        <f aca="false">IF($A608="","",INDEX(PlanningItemsList,7))</f>
        <v>Kampas Kopling Set</v>
      </c>
      <c r="C608" s="7"/>
      <c r="D608" s="7"/>
    </row>
    <row r="609" customFormat="false" ht="15" hidden="false" customHeight="false" outlineLevel="0" collapsed="false">
      <c r="A609" s="6" t="str">
        <f aca="false">IF('DATA UNIT'!$B32="","",'DATA UNIT'!$B32)</f>
        <v>DD 8550 UB</v>
      </c>
      <c r="B609" s="6" t="str">
        <f aca="false">IF($A609="","",INDEX(PlanningItemsList,8))</f>
        <v>Wiper Blade</v>
      </c>
      <c r="C609" s="7"/>
      <c r="D609" s="7"/>
    </row>
    <row r="610" customFormat="false" ht="15" hidden="false" customHeight="false" outlineLevel="0" collapsed="false">
      <c r="A610" s="6" t="str">
        <f aca="false">IF('DATA UNIT'!$B32="","",'DATA UNIT'!$B32)</f>
        <v>DD 8550 UB</v>
      </c>
      <c r="B610" s="6" t="str">
        <f aca="false">IF($A610="","",INDEX(PlanningItemsList,9))</f>
        <v>Ban Depan</v>
      </c>
      <c r="C610" s="7"/>
      <c r="D610" s="7"/>
    </row>
    <row r="611" customFormat="false" ht="15" hidden="false" customHeight="false" outlineLevel="0" collapsed="false">
      <c r="A611" s="6" t="str">
        <f aca="false">IF('DATA UNIT'!$B32="","",'DATA UNIT'!$B32)</f>
        <v>DD 8550 UB</v>
      </c>
      <c r="B611" s="6" t="str">
        <f aca="false">IF($A611="","",INDEX(PlanningItemsList,10))</f>
        <v>Ban Belakang</v>
      </c>
      <c r="C611" s="7"/>
      <c r="D611" s="7"/>
    </row>
    <row r="612" customFormat="false" ht="15" hidden="false" customHeight="false" outlineLevel="0" collapsed="false">
      <c r="A612" s="6" t="str">
        <f aca="false">IF('DATA UNIT'!$B32="","",'DATA UNIT'!$B32)</f>
        <v>DD 8550 UB</v>
      </c>
      <c r="B612" s="6" t="str">
        <f aca="false">IF($A612="","",INDEX(PlanningItemsList,11))</f>
        <v>Ban Serep</v>
      </c>
      <c r="C612" s="7"/>
      <c r="D612" s="7"/>
    </row>
    <row r="613" customFormat="false" ht="15" hidden="false" customHeight="false" outlineLevel="0" collapsed="false">
      <c r="A613" s="6" t="str">
        <f aca="false">IF('DATA UNIT'!$B32="","",'DATA UNIT'!$B32)</f>
        <v>DD 8550 UB</v>
      </c>
      <c r="B613" s="6" t="str">
        <f aca="false">IF($A613="","",INDEX(PlanningItemsList,12))</f>
        <v>Greasing</v>
      </c>
      <c r="C613" s="7"/>
      <c r="D613" s="7"/>
    </row>
    <row r="614" customFormat="false" ht="15" hidden="false" customHeight="false" outlineLevel="0" collapsed="false">
      <c r="A614" s="6" t="str">
        <f aca="false">IF('DATA UNIT'!$B32="","",'DATA UNIT'!$B32)</f>
        <v>DD 8550 UB</v>
      </c>
      <c r="B614" s="6" t="str">
        <f aca="false">IF($A614="","",INDEX(PlanningItemsList,13))</f>
        <v>V-Belt</v>
      </c>
      <c r="C614" s="7"/>
      <c r="D614" s="7"/>
    </row>
    <row r="615" customFormat="false" ht="15" hidden="false" customHeight="false" outlineLevel="0" collapsed="false">
      <c r="A615" s="6" t="str">
        <f aca="false">IF('DATA UNIT'!$B32="","",'DATA UNIT'!$B32)</f>
        <v>DD 8550 UB</v>
      </c>
      <c r="B615" s="6" t="str">
        <f aca="false">IF($A615="","",INDEX(PlanningItemsList,14))</f>
        <v>Sarung Jok</v>
      </c>
      <c r="C615" s="7"/>
      <c r="D615" s="7"/>
    </row>
    <row r="616" customFormat="false" ht="15" hidden="false" customHeight="false" outlineLevel="0" collapsed="false">
      <c r="A616" s="6" t="str">
        <f aca="false">IF('DATA UNIT'!$B32="","",'DATA UNIT'!$B32)</f>
        <v>DD 8550 UB</v>
      </c>
      <c r="B616" s="6" t="str">
        <f aca="false">IF($A616="","",INDEX(PlanningItemsList,15))</f>
        <v>Karpet Karet</v>
      </c>
      <c r="C616" s="7"/>
      <c r="D616" s="7"/>
    </row>
    <row r="617" customFormat="false" ht="15" hidden="false" customHeight="false" outlineLevel="0" collapsed="false">
      <c r="A617" s="6" t="str">
        <f aca="false">IF('DATA UNIT'!$B32="","",'DATA UNIT'!$B32)</f>
        <v>DD 8550 UB</v>
      </c>
      <c r="B617" s="6" t="str">
        <f aca="false">IF($A617="","",INDEX(PlanningItemsList,16))</f>
        <v>Karpet Dasar</v>
      </c>
      <c r="C617" s="7"/>
      <c r="D617" s="7"/>
    </row>
    <row r="618" customFormat="false" ht="15" hidden="false" customHeight="false" outlineLevel="0" collapsed="false">
      <c r="A618" s="6" t="str">
        <f aca="false">IF('DATA UNIT'!$B32="","",'DATA UNIT'!$B32)</f>
        <v>DD 8550 UB</v>
      </c>
      <c r="B618" s="6" t="str">
        <f aca="false">IF($A618="","",INDEX(PlanningItemsList,17))</f>
        <v>Flushing Radiator</v>
      </c>
      <c r="C618" s="7"/>
      <c r="D618" s="7"/>
    </row>
    <row r="619" customFormat="false" ht="15" hidden="false" customHeight="false" outlineLevel="0" collapsed="false">
      <c r="A619" s="6" t="str">
        <f aca="false">IF('DATA UNIT'!$B32="","",'DATA UNIT'!$B32)</f>
        <v>DD 8550 UB</v>
      </c>
      <c r="B619" s="6" t="str">
        <f aca="false">IF($A619="","",INDEX(PlanningItemsList,18))</f>
        <v>Flushing Steering</v>
      </c>
      <c r="C619" s="7"/>
      <c r="D619" s="7"/>
    </row>
    <row r="620" customFormat="false" ht="15" hidden="false" customHeight="false" outlineLevel="0" collapsed="false">
      <c r="A620" s="6" t="str">
        <f aca="false">IF('DATA UNIT'!$B32="","",'DATA UNIT'!$B32)</f>
        <v>DD 8550 UB</v>
      </c>
      <c r="B620" s="6" t="str">
        <f aca="false">IF($A620="","",INDEX(PlanningItemsList,19))</f>
        <v>Flushing Injector</v>
      </c>
      <c r="C620" s="7"/>
      <c r="D620" s="7"/>
    </row>
    <row r="621" customFormat="false" ht="15" hidden="false" customHeight="false" outlineLevel="0" collapsed="false">
      <c r="A621" s="6" t="str">
        <f aca="false">IF('DATA UNIT'!$B32="","",'DATA UNIT'!$B32)</f>
        <v>DD 8550 UB</v>
      </c>
      <c r="B621" s="6" t="str">
        <f aca="false">IF($A621="","",INDEX(PlanningItemsList,20))</f>
        <v>Flushing Rem</v>
      </c>
      <c r="C621" s="7"/>
      <c r="D621" s="7"/>
    </row>
    <row r="622" customFormat="false" ht="15" hidden="false" customHeight="false" outlineLevel="0" collapsed="false">
      <c r="A622" s="6" t="str">
        <f aca="false">IF('DATA UNIT'!$B33="","",'DATA UNIT'!$B33)</f>
        <v>KT 8720 YS</v>
      </c>
      <c r="B622" s="6" t="str">
        <f aca="false">IF($A622="","",INDEX(PlanningItemsList,1))</f>
        <v>PM Check / Reguler Services</v>
      </c>
      <c r="C622" s="7"/>
      <c r="D622" s="7"/>
    </row>
    <row r="623" customFormat="false" ht="15" hidden="false" customHeight="false" outlineLevel="0" collapsed="false">
      <c r="A623" s="6" t="str">
        <f aca="false">IF('DATA UNIT'!$B33="","",'DATA UNIT'!$B33)</f>
        <v>KT 8720 YS</v>
      </c>
      <c r="B623" s="6" t="str">
        <f aca="false">IF($A623="","",INDEX(PlanningItemsList,2))</f>
        <v>Service A</v>
      </c>
      <c r="C623" s="7"/>
      <c r="D623" s="7"/>
    </row>
    <row r="624" customFormat="false" ht="15" hidden="false" customHeight="false" outlineLevel="0" collapsed="false">
      <c r="A624" s="6" t="str">
        <f aca="false">IF('DATA UNIT'!$B33="","",'DATA UNIT'!$B33)</f>
        <v>KT 8720 YS</v>
      </c>
      <c r="B624" s="6" t="str">
        <f aca="false">IF($A624="","",INDEX(PlanningItemsList,3))</f>
        <v>Service B</v>
      </c>
      <c r="C624" s="7"/>
      <c r="D624" s="7"/>
    </row>
    <row r="625" customFormat="false" ht="15" hidden="false" customHeight="false" outlineLevel="0" collapsed="false">
      <c r="A625" s="6" t="str">
        <f aca="false">IF('DATA UNIT'!$B33="","",'DATA UNIT'!$B33)</f>
        <v>KT 8720 YS</v>
      </c>
      <c r="B625" s="6" t="str">
        <f aca="false">IF($A625="","",INDEX(PlanningItemsList,4))</f>
        <v>Brake Pad</v>
      </c>
      <c r="C625" s="7"/>
      <c r="D625" s="7"/>
    </row>
    <row r="626" customFormat="false" ht="15" hidden="false" customHeight="false" outlineLevel="0" collapsed="false">
      <c r="A626" s="6" t="str">
        <f aca="false">IF('DATA UNIT'!$B33="","",'DATA UNIT'!$B33)</f>
        <v>KT 8720 YS</v>
      </c>
      <c r="B626" s="6" t="str">
        <f aca="false">IF($A626="","",INDEX(PlanningItemsList,5))</f>
        <v>Brake Shoe</v>
      </c>
      <c r="C626" s="7"/>
      <c r="D626" s="7"/>
    </row>
    <row r="627" customFormat="false" ht="15" hidden="false" customHeight="false" outlineLevel="0" collapsed="false">
      <c r="A627" s="6" t="str">
        <f aca="false">IF('DATA UNIT'!$B33="","",'DATA UNIT'!$B33)</f>
        <v>KT 8720 YS</v>
      </c>
      <c r="B627" s="6" t="str">
        <f aca="false">IF($A627="","",INDEX(PlanningItemsList,6))</f>
        <v>Accu</v>
      </c>
      <c r="C627" s="7"/>
      <c r="D627" s="7"/>
    </row>
    <row r="628" customFormat="false" ht="15" hidden="false" customHeight="false" outlineLevel="0" collapsed="false">
      <c r="A628" s="6" t="str">
        <f aca="false">IF('DATA UNIT'!$B33="","",'DATA UNIT'!$B33)</f>
        <v>KT 8720 YS</v>
      </c>
      <c r="B628" s="6" t="str">
        <f aca="false">IF($A628="","",INDEX(PlanningItemsList,7))</f>
        <v>Kampas Kopling Set</v>
      </c>
      <c r="C628" s="7"/>
      <c r="D628" s="7"/>
    </row>
    <row r="629" customFormat="false" ht="15" hidden="false" customHeight="false" outlineLevel="0" collapsed="false">
      <c r="A629" s="6" t="str">
        <f aca="false">IF('DATA UNIT'!$B33="","",'DATA UNIT'!$B33)</f>
        <v>KT 8720 YS</v>
      </c>
      <c r="B629" s="6" t="str">
        <f aca="false">IF($A629="","",INDEX(PlanningItemsList,8))</f>
        <v>Wiper Blade</v>
      </c>
      <c r="C629" s="7"/>
      <c r="D629" s="7"/>
    </row>
    <row r="630" customFormat="false" ht="15" hidden="false" customHeight="false" outlineLevel="0" collapsed="false">
      <c r="A630" s="6" t="str">
        <f aca="false">IF('DATA UNIT'!$B33="","",'DATA UNIT'!$B33)</f>
        <v>KT 8720 YS</v>
      </c>
      <c r="B630" s="6" t="str">
        <f aca="false">IF($A630="","",INDEX(PlanningItemsList,9))</f>
        <v>Ban Depan</v>
      </c>
      <c r="C630" s="7"/>
      <c r="D630" s="7"/>
    </row>
    <row r="631" customFormat="false" ht="15" hidden="false" customHeight="false" outlineLevel="0" collapsed="false">
      <c r="A631" s="6" t="str">
        <f aca="false">IF('DATA UNIT'!$B33="","",'DATA UNIT'!$B33)</f>
        <v>KT 8720 YS</v>
      </c>
      <c r="B631" s="6" t="str">
        <f aca="false">IF($A631="","",INDEX(PlanningItemsList,10))</f>
        <v>Ban Belakang</v>
      </c>
      <c r="C631" s="7"/>
      <c r="D631" s="7"/>
    </row>
    <row r="632" customFormat="false" ht="15" hidden="false" customHeight="false" outlineLevel="0" collapsed="false">
      <c r="A632" s="6" t="str">
        <f aca="false">IF('DATA UNIT'!$B33="","",'DATA UNIT'!$B33)</f>
        <v>KT 8720 YS</v>
      </c>
      <c r="B632" s="6" t="str">
        <f aca="false">IF($A632="","",INDEX(PlanningItemsList,11))</f>
        <v>Ban Serep</v>
      </c>
      <c r="C632" s="7"/>
      <c r="D632" s="7"/>
    </row>
    <row r="633" customFormat="false" ht="15" hidden="false" customHeight="false" outlineLevel="0" collapsed="false">
      <c r="A633" s="6" t="str">
        <f aca="false">IF('DATA UNIT'!$B33="","",'DATA UNIT'!$B33)</f>
        <v>KT 8720 YS</v>
      </c>
      <c r="B633" s="6" t="str">
        <f aca="false">IF($A633="","",INDEX(PlanningItemsList,12))</f>
        <v>Greasing</v>
      </c>
      <c r="C633" s="7"/>
      <c r="D633" s="7"/>
    </row>
    <row r="634" customFormat="false" ht="15" hidden="false" customHeight="false" outlineLevel="0" collapsed="false">
      <c r="A634" s="6" t="str">
        <f aca="false">IF('DATA UNIT'!$B33="","",'DATA UNIT'!$B33)</f>
        <v>KT 8720 YS</v>
      </c>
      <c r="B634" s="6" t="str">
        <f aca="false">IF($A634="","",INDEX(PlanningItemsList,13))</f>
        <v>V-Belt</v>
      </c>
      <c r="C634" s="7"/>
      <c r="D634" s="7"/>
    </row>
    <row r="635" customFormat="false" ht="15" hidden="false" customHeight="false" outlineLevel="0" collapsed="false">
      <c r="A635" s="6" t="str">
        <f aca="false">IF('DATA UNIT'!$B33="","",'DATA UNIT'!$B33)</f>
        <v>KT 8720 YS</v>
      </c>
      <c r="B635" s="6" t="str">
        <f aca="false">IF($A635="","",INDEX(PlanningItemsList,14))</f>
        <v>Sarung Jok</v>
      </c>
      <c r="C635" s="7"/>
      <c r="D635" s="7"/>
    </row>
    <row r="636" customFormat="false" ht="15" hidden="false" customHeight="false" outlineLevel="0" collapsed="false">
      <c r="A636" s="6" t="str">
        <f aca="false">IF('DATA UNIT'!$B33="","",'DATA UNIT'!$B33)</f>
        <v>KT 8720 YS</v>
      </c>
      <c r="B636" s="6" t="str">
        <f aca="false">IF($A636="","",INDEX(PlanningItemsList,15))</f>
        <v>Karpet Karet</v>
      </c>
      <c r="C636" s="7"/>
      <c r="D636" s="7"/>
    </row>
    <row r="637" customFormat="false" ht="15" hidden="false" customHeight="false" outlineLevel="0" collapsed="false">
      <c r="A637" s="6" t="str">
        <f aca="false">IF('DATA UNIT'!$B33="","",'DATA UNIT'!$B33)</f>
        <v>KT 8720 YS</v>
      </c>
      <c r="B637" s="6" t="str">
        <f aca="false">IF($A637="","",INDEX(PlanningItemsList,16))</f>
        <v>Karpet Dasar</v>
      </c>
      <c r="C637" s="7"/>
      <c r="D637" s="7"/>
    </row>
    <row r="638" customFormat="false" ht="15" hidden="false" customHeight="false" outlineLevel="0" collapsed="false">
      <c r="A638" s="6" t="str">
        <f aca="false">IF('DATA UNIT'!$B33="","",'DATA UNIT'!$B33)</f>
        <v>KT 8720 YS</v>
      </c>
      <c r="B638" s="6" t="str">
        <f aca="false">IF($A638="","",INDEX(PlanningItemsList,17))</f>
        <v>Flushing Radiator</v>
      </c>
      <c r="C638" s="7"/>
      <c r="D638" s="7"/>
    </row>
    <row r="639" customFormat="false" ht="15" hidden="false" customHeight="false" outlineLevel="0" collapsed="false">
      <c r="A639" s="6" t="str">
        <f aca="false">IF('DATA UNIT'!$B33="","",'DATA UNIT'!$B33)</f>
        <v>KT 8720 YS</v>
      </c>
      <c r="B639" s="6" t="str">
        <f aca="false">IF($A639="","",INDEX(PlanningItemsList,18))</f>
        <v>Flushing Steering</v>
      </c>
      <c r="C639" s="7"/>
      <c r="D639" s="7"/>
    </row>
    <row r="640" customFormat="false" ht="15" hidden="false" customHeight="false" outlineLevel="0" collapsed="false">
      <c r="A640" s="6" t="str">
        <f aca="false">IF('DATA UNIT'!$B33="","",'DATA UNIT'!$B33)</f>
        <v>KT 8720 YS</v>
      </c>
      <c r="B640" s="6" t="str">
        <f aca="false">IF($A640="","",INDEX(PlanningItemsList,19))</f>
        <v>Flushing Injector</v>
      </c>
      <c r="C640" s="7"/>
      <c r="D640" s="7"/>
    </row>
    <row r="641" customFormat="false" ht="15" hidden="false" customHeight="false" outlineLevel="0" collapsed="false">
      <c r="A641" s="6" t="str">
        <f aca="false">IF('DATA UNIT'!$B33="","",'DATA UNIT'!$B33)</f>
        <v>KT 8720 YS</v>
      </c>
      <c r="B641" s="6" t="str">
        <f aca="false">IF($A641="","",INDEX(PlanningItemsList,20))</f>
        <v>Flushing Rem</v>
      </c>
      <c r="C641" s="7"/>
      <c r="D641" s="7"/>
    </row>
    <row r="642" customFormat="false" ht="15" hidden="false" customHeight="false" outlineLevel="0" collapsed="false">
      <c r="A642" s="6" t="str">
        <f aca="false">IF('DATA UNIT'!$B34="","",'DATA UNIT'!$B34)</f>
        <v>KT 8697 YS</v>
      </c>
      <c r="B642" s="6" t="str">
        <f aca="false">IF($A642="","",INDEX(PlanningItemsList,1))</f>
        <v>PM Check / Reguler Services</v>
      </c>
      <c r="C642" s="7"/>
      <c r="D642" s="7"/>
    </row>
    <row r="643" customFormat="false" ht="15" hidden="false" customHeight="false" outlineLevel="0" collapsed="false">
      <c r="A643" s="6" t="str">
        <f aca="false">IF('DATA UNIT'!$B34="","",'DATA UNIT'!$B34)</f>
        <v>KT 8697 YS</v>
      </c>
      <c r="B643" s="6" t="str">
        <f aca="false">IF($A643="","",INDEX(PlanningItemsList,2))</f>
        <v>Service A</v>
      </c>
      <c r="C643" s="7"/>
      <c r="D643" s="7"/>
    </row>
    <row r="644" customFormat="false" ht="15" hidden="false" customHeight="false" outlineLevel="0" collapsed="false">
      <c r="A644" s="6" t="str">
        <f aca="false">IF('DATA UNIT'!$B34="","",'DATA UNIT'!$B34)</f>
        <v>KT 8697 YS</v>
      </c>
      <c r="B644" s="6" t="str">
        <f aca="false">IF($A644="","",INDEX(PlanningItemsList,3))</f>
        <v>Service B</v>
      </c>
      <c r="C644" s="7"/>
      <c r="D644" s="7"/>
    </row>
    <row r="645" customFormat="false" ht="15" hidden="false" customHeight="false" outlineLevel="0" collapsed="false">
      <c r="A645" s="6" t="str">
        <f aca="false">IF('DATA UNIT'!$B34="","",'DATA UNIT'!$B34)</f>
        <v>KT 8697 YS</v>
      </c>
      <c r="B645" s="6" t="str">
        <f aca="false">IF($A645="","",INDEX(PlanningItemsList,4))</f>
        <v>Brake Pad</v>
      </c>
      <c r="C645" s="7"/>
      <c r="D645" s="7"/>
    </row>
    <row r="646" customFormat="false" ht="15" hidden="false" customHeight="false" outlineLevel="0" collapsed="false">
      <c r="A646" s="6" t="str">
        <f aca="false">IF('DATA UNIT'!$B34="","",'DATA UNIT'!$B34)</f>
        <v>KT 8697 YS</v>
      </c>
      <c r="B646" s="6" t="str">
        <f aca="false">IF($A646="","",INDEX(PlanningItemsList,5))</f>
        <v>Brake Shoe</v>
      </c>
      <c r="C646" s="7"/>
      <c r="D646" s="7"/>
    </row>
    <row r="647" customFormat="false" ht="15" hidden="false" customHeight="false" outlineLevel="0" collapsed="false">
      <c r="A647" s="6" t="str">
        <f aca="false">IF('DATA UNIT'!$B34="","",'DATA UNIT'!$B34)</f>
        <v>KT 8697 YS</v>
      </c>
      <c r="B647" s="6" t="str">
        <f aca="false">IF($A647="","",INDEX(PlanningItemsList,6))</f>
        <v>Accu</v>
      </c>
      <c r="C647" s="7"/>
      <c r="D647" s="7"/>
    </row>
    <row r="648" customFormat="false" ht="15" hidden="false" customHeight="false" outlineLevel="0" collapsed="false">
      <c r="A648" s="6" t="str">
        <f aca="false">IF('DATA UNIT'!$B34="","",'DATA UNIT'!$B34)</f>
        <v>KT 8697 YS</v>
      </c>
      <c r="B648" s="6" t="str">
        <f aca="false">IF($A648="","",INDEX(PlanningItemsList,7))</f>
        <v>Kampas Kopling Set</v>
      </c>
      <c r="C648" s="7"/>
      <c r="D648" s="7"/>
    </row>
    <row r="649" customFormat="false" ht="15" hidden="false" customHeight="false" outlineLevel="0" collapsed="false">
      <c r="A649" s="6" t="str">
        <f aca="false">IF('DATA UNIT'!$B34="","",'DATA UNIT'!$B34)</f>
        <v>KT 8697 YS</v>
      </c>
      <c r="B649" s="6" t="str">
        <f aca="false">IF($A649="","",INDEX(PlanningItemsList,8))</f>
        <v>Wiper Blade</v>
      </c>
      <c r="C649" s="7"/>
      <c r="D649" s="7"/>
    </row>
    <row r="650" customFormat="false" ht="15" hidden="false" customHeight="false" outlineLevel="0" collapsed="false">
      <c r="A650" s="6" t="str">
        <f aca="false">IF('DATA UNIT'!$B34="","",'DATA UNIT'!$B34)</f>
        <v>KT 8697 YS</v>
      </c>
      <c r="B650" s="6" t="str">
        <f aca="false">IF($A650="","",INDEX(PlanningItemsList,9))</f>
        <v>Ban Depan</v>
      </c>
      <c r="C650" s="7"/>
      <c r="D650" s="7"/>
    </row>
    <row r="651" customFormat="false" ht="15" hidden="false" customHeight="false" outlineLevel="0" collapsed="false">
      <c r="A651" s="6" t="str">
        <f aca="false">IF('DATA UNIT'!$B34="","",'DATA UNIT'!$B34)</f>
        <v>KT 8697 YS</v>
      </c>
      <c r="B651" s="6" t="str">
        <f aca="false">IF($A651="","",INDEX(PlanningItemsList,10))</f>
        <v>Ban Belakang</v>
      </c>
      <c r="C651" s="7"/>
      <c r="D651" s="7"/>
    </row>
    <row r="652" customFormat="false" ht="15" hidden="false" customHeight="false" outlineLevel="0" collapsed="false">
      <c r="A652" s="6" t="str">
        <f aca="false">IF('DATA UNIT'!$B34="","",'DATA UNIT'!$B34)</f>
        <v>KT 8697 YS</v>
      </c>
      <c r="B652" s="6" t="str">
        <f aca="false">IF($A652="","",INDEX(PlanningItemsList,11))</f>
        <v>Ban Serep</v>
      </c>
      <c r="C652" s="7"/>
      <c r="D652" s="7"/>
    </row>
    <row r="653" customFormat="false" ht="15" hidden="false" customHeight="false" outlineLevel="0" collapsed="false">
      <c r="A653" s="6" t="str">
        <f aca="false">IF('DATA UNIT'!$B34="","",'DATA UNIT'!$B34)</f>
        <v>KT 8697 YS</v>
      </c>
      <c r="B653" s="6" t="str">
        <f aca="false">IF($A653="","",INDEX(PlanningItemsList,12))</f>
        <v>Greasing</v>
      </c>
      <c r="C653" s="7"/>
      <c r="D653" s="7"/>
    </row>
    <row r="654" customFormat="false" ht="15" hidden="false" customHeight="false" outlineLevel="0" collapsed="false">
      <c r="A654" s="6" t="str">
        <f aca="false">IF('DATA UNIT'!$B34="","",'DATA UNIT'!$B34)</f>
        <v>KT 8697 YS</v>
      </c>
      <c r="B654" s="6" t="str">
        <f aca="false">IF($A654="","",INDEX(PlanningItemsList,13))</f>
        <v>V-Belt</v>
      </c>
      <c r="C654" s="7"/>
      <c r="D654" s="7"/>
    </row>
    <row r="655" customFormat="false" ht="15" hidden="false" customHeight="false" outlineLevel="0" collapsed="false">
      <c r="A655" s="6" t="str">
        <f aca="false">IF('DATA UNIT'!$B34="","",'DATA UNIT'!$B34)</f>
        <v>KT 8697 YS</v>
      </c>
      <c r="B655" s="6" t="str">
        <f aca="false">IF($A655="","",INDEX(PlanningItemsList,14))</f>
        <v>Sarung Jok</v>
      </c>
      <c r="C655" s="7"/>
      <c r="D655" s="7"/>
    </row>
    <row r="656" customFormat="false" ht="15" hidden="false" customHeight="false" outlineLevel="0" collapsed="false">
      <c r="A656" s="6" t="str">
        <f aca="false">IF('DATA UNIT'!$B34="","",'DATA UNIT'!$B34)</f>
        <v>KT 8697 YS</v>
      </c>
      <c r="B656" s="6" t="str">
        <f aca="false">IF($A656="","",INDEX(PlanningItemsList,15))</f>
        <v>Karpet Karet</v>
      </c>
      <c r="C656" s="7"/>
      <c r="D656" s="7"/>
    </row>
    <row r="657" customFormat="false" ht="15" hidden="false" customHeight="false" outlineLevel="0" collapsed="false">
      <c r="A657" s="6" t="str">
        <f aca="false">IF('DATA UNIT'!$B34="","",'DATA UNIT'!$B34)</f>
        <v>KT 8697 YS</v>
      </c>
      <c r="B657" s="6" t="str">
        <f aca="false">IF($A657="","",INDEX(PlanningItemsList,16))</f>
        <v>Karpet Dasar</v>
      </c>
      <c r="C657" s="7"/>
      <c r="D657" s="7"/>
    </row>
    <row r="658" customFormat="false" ht="15" hidden="false" customHeight="false" outlineLevel="0" collapsed="false">
      <c r="A658" s="6" t="str">
        <f aca="false">IF('DATA UNIT'!$B34="","",'DATA UNIT'!$B34)</f>
        <v>KT 8697 YS</v>
      </c>
      <c r="B658" s="6" t="str">
        <f aca="false">IF($A658="","",INDEX(PlanningItemsList,17))</f>
        <v>Flushing Radiator</v>
      </c>
      <c r="C658" s="7"/>
      <c r="D658" s="7"/>
    </row>
    <row r="659" customFormat="false" ht="15" hidden="false" customHeight="false" outlineLevel="0" collapsed="false">
      <c r="A659" s="6" t="str">
        <f aca="false">IF('DATA UNIT'!$B34="","",'DATA UNIT'!$B34)</f>
        <v>KT 8697 YS</v>
      </c>
      <c r="B659" s="6" t="str">
        <f aca="false">IF($A659="","",INDEX(PlanningItemsList,18))</f>
        <v>Flushing Steering</v>
      </c>
      <c r="C659" s="7"/>
      <c r="D659" s="7"/>
    </row>
    <row r="660" customFormat="false" ht="15" hidden="false" customHeight="false" outlineLevel="0" collapsed="false">
      <c r="A660" s="6" t="str">
        <f aca="false">IF('DATA UNIT'!$B34="","",'DATA UNIT'!$B34)</f>
        <v>KT 8697 YS</v>
      </c>
      <c r="B660" s="6" t="str">
        <f aca="false">IF($A660="","",INDEX(PlanningItemsList,19))</f>
        <v>Flushing Injector</v>
      </c>
      <c r="C660" s="7"/>
      <c r="D660" s="7"/>
    </row>
    <row r="661" customFormat="false" ht="15" hidden="false" customHeight="false" outlineLevel="0" collapsed="false">
      <c r="A661" s="6" t="str">
        <f aca="false">IF('DATA UNIT'!$B34="","",'DATA UNIT'!$B34)</f>
        <v>KT 8697 YS</v>
      </c>
      <c r="B661" s="6" t="str">
        <f aca="false">IF($A661="","",INDEX(PlanningItemsList,20))</f>
        <v>Flushing Rem</v>
      </c>
      <c r="C661" s="7"/>
      <c r="D661" s="7"/>
    </row>
    <row r="662" customFormat="false" ht="15" hidden="false" customHeight="false" outlineLevel="0" collapsed="false">
      <c r="A662" s="6" t="str">
        <f aca="false">IF('DATA UNIT'!$B35="","",'DATA UNIT'!$B35)</f>
        <v>DA 1365 O</v>
      </c>
      <c r="B662" s="6" t="str">
        <f aca="false">IF($A662="","",INDEX(PlanningItemsList,1))</f>
        <v>PM Check / Reguler Services</v>
      </c>
      <c r="C662" s="7"/>
      <c r="D662" s="7"/>
    </row>
    <row r="663" customFormat="false" ht="15" hidden="false" customHeight="false" outlineLevel="0" collapsed="false">
      <c r="A663" s="6" t="str">
        <f aca="false">IF('DATA UNIT'!$B35="","",'DATA UNIT'!$B35)</f>
        <v>DA 1365 O</v>
      </c>
      <c r="B663" s="6" t="str">
        <f aca="false">IF($A663="","",INDEX(PlanningItemsList,2))</f>
        <v>Service A</v>
      </c>
      <c r="C663" s="7"/>
      <c r="D663" s="7"/>
    </row>
    <row r="664" customFormat="false" ht="15" hidden="false" customHeight="false" outlineLevel="0" collapsed="false">
      <c r="A664" s="6" t="str">
        <f aca="false">IF('DATA UNIT'!$B35="","",'DATA UNIT'!$B35)</f>
        <v>DA 1365 O</v>
      </c>
      <c r="B664" s="6" t="str">
        <f aca="false">IF($A664="","",INDEX(PlanningItemsList,3))</f>
        <v>Service B</v>
      </c>
      <c r="C664" s="7"/>
      <c r="D664" s="7"/>
    </row>
    <row r="665" customFormat="false" ht="15" hidden="false" customHeight="false" outlineLevel="0" collapsed="false">
      <c r="A665" s="6" t="str">
        <f aca="false">IF('DATA UNIT'!$B35="","",'DATA UNIT'!$B35)</f>
        <v>DA 1365 O</v>
      </c>
      <c r="B665" s="6" t="str">
        <f aca="false">IF($A665="","",INDEX(PlanningItemsList,4))</f>
        <v>Brake Pad</v>
      </c>
      <c r="C665" s="7"/>
      <c r="D665" s="7"/>
    </row>
    <row r="666" customFormat="false" ht="15" hidden="false" customHeight="false" outlineLevel="0" collapsed="false">
      <c r="A666" s="6" t="str">
        <f aca="false">IF('DATA UNIT'!$B35="","",'DATA UNIT'!$B35)</f>
        <v>DA 1365 O</v>
      </c>
      <c r="B666" s="6" t="str">
        <f aca="false">IF($A666="","",INDEX(PlanningItemsList,5))</f>
        <v>Brake Shoe</v>
      </c>
      <c r="C666" s="7"/>
      <c r="D666" s="7"/>
    </row>
    <row r="667" customFormat="false" ht="15" hidden="false" customHeight="false" outlineLevel="0" collapsed="false">
      <c r="A667" s="6" t="str">
        <f aca="false">IF('DATA UNIT'!$B35="","",'DATA UNIT'!$B35)</f>
        <v>DA 1365 O</v>
      </c>
      <c r="B667" s="6" t="str">
        <f aca="false">IF($A667="","",INDEX(PlanningItemsList,6))</f>
        <v>Accu</v>
      </c>
      <c r="C667" s="7"/>
      <c r="D667" s="7"/>
    </row>
    <row r="668" customFormat="false" ht="15" hidden="false" customHeight="false" outlineLevel="0" collapsed="false">
      <c r="A668" s="6" t="str">
        <f aca="false">IF('DATA UNIT'!$B35="","",'DATA UNIT'!$B35)</f>
        <v>DA 1365 O</v>
      </c>
      <c r="B668" s="6" t="str">
        <f aca="false">IF($A668="","",INDEX(PlanningItemsList,7))</f>
        <v>Kampas Kopling Set</v>
      </c>
      <c r="C668" s="7"/>
      <c r="D668" s="7"/>
    </row>
    <row r="669" customFormat="false" ht="15" hidden="false" customHeight="false" outlineLevel="0" collapsed="false">
      <c r="A669" s="6" t="str">
        <f aca="false">IF('DATA UNIT'!$B35="","",'DATA UNIT'!$B35)</f>
        <v>DA 1365 O</v>
      </c>
      <c r="B669" s="6" t="str">
        <f aca="false">IF($A669="","",INDEX(PlanningItemsList,8))</f>
        <v>Wiper Blade</v>
      </c>
      <c r="C669" s="7"/>
      <c r="D669" s="7"/>
    </row>
    <row r="670" customFormat="false" ht="15" hidden="false" customHeight="false" outlineLevel="0" collapsed="false">
      <c r="A670" s="6" t="str">
        <f aca="false">IF('DATA UNIT'!$B35="","",'DATA UNIT'!$B35)</f>
        <v>DA 1365 O</v>
      </c>
      <c r="B670" s="6" t="str">
        <f aca="false">IF($A670="","",INDEX(PlanningItemsList,9))</f>
        <v>Ban Depan</v>
      </c>
      <c r="C670" s="7"/>
      <c r="D670" s="7"/>
    </row>
    <row r="671" customFormat="false" ht="15" hidden="false" customHeight="false" outlineLevel="0" collapsed="false">
      <c r="A671" s="6" t="str">
        <f aca="false">IF('DATA UNIT'!$B35="","",'DATA UNIT'!$B35)</f>
        <v>DA 1365 O</v>
      </c>
      <c r="B671" s="6" t="str">
        <f aca="false">IF($A671="","",INDEX(PlanningItemsList,10))</f>
        <v>Ban Belakang</v>
      </c>
      <c r="C671" s="7"/>
      <c r="D671" s="7"/>
    </row>
    <row r="672" customFormat="false" ht="15" hidden="false" customHeight="false" outlineLevel="0" collapsed="false">
      <c r="A672" s="6" t="str">
        <f aca="false">IF('DATA UNIT'!$B35="","",'DATA UNIT'!$B35)</f>
        <v>DA 1365 O</v>
      </c>
      <c r="B672" s="6" t="str">
        <f aca="false">IF($A672="","",INDEX(PlanningItemsList,11))</f>
        <v>Ban Serep</v>
      </c>
      <c r="C672" s="7"/>
      <c r="D672" s="7"/>
    </row>
    <row r="673" customFormat="false" ht="15" hidden="false" customHeight="false" outlineLevel="0" collapsed="false">
      <c r="A673" s="6" t="str">
        <f aca="false">IF('DATA UNIT'!$B35="","",'DATA UNIT'!$B35)</f>
        <v>DA 1365 O</v>
      </c>
      <c r="B673" s="6" t="str">
        <f aca="false">IF($A673="","",INDEX(PlanningItemsList,12))</f>
        <v>Greasing</v>
      </c>
      <c r="C673" s="7"/>
      <c r="D673" s="7"/>
    </row>
    <row r="674" customFormat="false" ht="15" hidden="false" customHeight="false" outlineLevel="0" collapsed="false">
      <c r="A674" s="6" t="str">
        <f aca="false">IF('DATA UNIT'!$B35="","",'DATA UNIT'!$B35)</f>
        <v>DA 1365 O</v>
      </c>
      <c r="B674" s="6" t="str">
        <f aca="false">IF($A674="","",INDEX(PlanningItemsList,13))</f>
        <v>V-Belt</v>
      </c>
      <c r="C674" s="7"/>
      <c r="D674" s="7"/>
    </row>
    <row r="675" customFormat="false" ht="15" hidden="false" customHeight="false" outlineLevel="0" collapsed="false">
      <c r="A675" s="6" t="str">
        <f aca="false">IF('DATA UNIT'!$B35="","",'DATA UNIT'!$B35)</f>
        <v>DA 1365 O</v>
      </c>
      <c r="B675" s="6" t="str">
        <f aca="false">IF($A675="","",INDEX(PlanningItemsList,14))</f>
        <v>Sarung Jok</v>
      </c>
      <c r="C675" s="7"/>
      <c r="D675" s="7"/>
    </row>
    <row r="676" customFormat="false" ht="15" hidden="false" customHeight="false" outlineLevel="0" collapsed="false">
      <c r="A676" s="6" t="str">
        <f aca="false">IF('DATA UNIT'!$B35="","",'DATA UNIT'!$B35)</f>
        <v>DA 1365 O</v>
      </c>
      <c r="B676" s="6" t="str">
        <f aca="false">IF($A676="","",INDEX(PlanningItemsList,15))</f>
        <v>Karpet Karet</v>
      </c>
      <c r="C676" s="7"/>
      <c r="D676" s="7"/>
    </row>
    <row r="677" customFormat="false" ht="15" hidden="false" customHeight="false" outlineLevel="0" collapsed="false">
      <c r="A677" s="6" t="str">
        <f aca="false">IF('DATA UNIT'!$B35="","",'DATA UNIT'!$B35)</f>
        <v>DA 1365 O</v>
      </c>
      <c r="B677" s="6" t="str">
        <f aca="false">IF($A677="","",INDEX(PlanningItemsList,16))</f>
        <v>Karpet Dasar</v>
      </c>
      <c r="C677" s="7"/>
      <c r="D677" s="7"/>
    </row>
    <row r="678" customFormat="false" ht="15" hidden="false" customHeight="false" outlineLevel="0" collapsed="false">
      <c r="A678" s="6" t="str">
        <f aca="false">IF('DATA UNIT'!$B35="","",'DATA UNIT'!$B35)</f>
        <v>DA 1365 O</v>
      </c>
      <c r="B678" s="6" t="str">
        <f aca="false">IF($A678="","",INDEX(PlanningItemsList,17))</f>
        <v>Flushing Radiator</v>
      </c>
      <c r="C678" s="7"/>
      <c r="D678" s="7"/>
    </row>
    <row r="679" customFormat="false" ht="15" hidden="false" customHeight="false" outlineLevel="0" collapsed="false">
      <c r="A679" s="6" t="str">
        <f aca="false">IF('DATA UNIT'!$B35="","",'DATA UNIT'!$B35)</f>
        <v>DA 1365 O</v>
      </c>
      <c r="B679" s="6" t="str">
        <f aca="false">IF($A679="","",INDEX(PlanningItemsList,18))</f>
        <v>Flushing Steering</v>
      </c>
      <c r="C679" s="7"/>
      <c r="D679" s="7"/>
    </row>
    <row r="680" customFormat="false" ht="15" hidden="false" customHeight="false" outlineLevel="0" collapsed="false">
      <c r="A680" s="6" t="str">
        <f aca="false">IF('DATA UNIT'!$B35="","",'DATA UNIT'!$B35)</f>
        <v>DA 1365 O</v>
      </c>
      <c r="B680" s="6" t="str">
        <f aca="false">IF($A680="","",INDEX(PlanningItemsList,19))</f>
        <v>Flushing Injector</v>
      </c>
      <c r="C680" s="7"/>
      <c r="D680" s="7"/>
    </row>
    <row r="681" customFormat="false" ht="15" hidden="false" customHeight="false" outlineLevel="0" collapsed="false">
      <c r="A681" s="6" t="str">
        <f aca="false">IF('DATA UNIT'!$B35="","",'DATA UNIT'!$B35)</f>
        <v>DA 1365 O</v>
      </c>
      <c r="B681" s="6" t="str">
        <f aca="false">IF($A681="","",INDEX(PlanningItemsList,20))</f>
        <v>Flushing Rem</v>
      </c>
      <c r="C681" s="7"/>
      <c r="D681" s="7"/>
    </row>
    <row r="682" customFormat="false" ht="15" hidden="false" customHeight="false" outlineLevel="0" collapsed="false">
      <c r="A682" s="6" t="str">
        <f aca="false">IF('DATA UNIT'!$B36="","",'DATA UNIT'!$B36)</f>
        <v>B 1395 ERA</v>
      </c>
      <c r="B682" s="6" t="str">
        <f aca="false">IF($A682="","",INDEX(PlanningItemsList,1))</f>
        <v>PM Check / Reguler Services</v>
      </c>
      <c r="C682" s="7"/>
      <c r="D682" s="7"/>
    </row>
    <row r="683" customFormat="false" ht="15" hidden="false" customHeight="false" outlineLevel="0" collapsed="false">
      <c r="A683" s="6" t="str">
        <f aca="false">IF('DATA UNIT'!$B36="","",'DATA UNIT'!$B36)</f>
        <v>B 1395 ERA</v>
      </c>
      <c r="B683" s="6" t="str">
        <f aca="false">IF($A683="","",INDEX(PlanningItemsList,2))</f>
        <v>Service A</v>
      </c>
      <c r="C683" s="7"/>
      <c r="D683" s="7"/>
    </row>
    <row r="684" customFormat="false" ht="15" hidden="false" customHeight="false" outlineLevel="0" collapsed="false">
      <c r="A684" s="6" t="str">
        <f aca="false">IF('DATA UNIT'!$B36="","",'DATA UNIT'!$B36)</f>
        <v>B 1395 ERA</v>
      </c>
      <c r="B684" s="6" t="str">
        <f aca="false">IF($A684="","",INDEX(PlanningItemsList,3))</f>
        <v>Service B</v>
      </c>
      <c r="C684" s="7"/>
      <c r="D684" s="7"/>
    </row>
    <row r="685" customFormat="false" ht="15" hidden="false" customHeight="false" outlineLevel="0" collapsed="false">
      <c r="A685" s="6" t="str">
        <f aca="false">IF('DATA UNIT'!$B36="","",'DATA UNIT'!$B36)</f>
        <v>B 1395 ERA</v>
      </c>
      <c r="B685" s="6" t="str">
        <f aca="false">IF($A685="","",INDEX(PlanningItemsList,4))</f>
        <v>Brake Pad</v>
      </c>
      <c r="C685" s="7"/>
      <c r="D685" s="7"/>
    </row>
    <row r="686" customFormat="false" ht="15" hidden="false" customHeight="false" outlineLevel="0" collapsed="false">
      <c r="A686" s="6" t="str">
        <f aca="false">IF('DATA UNIT'!$B36="","",'DATA UNIT'!$B36)</f>
        <v>B 1395 ERA</v>
      </c>
      <c r="B686" s="6" t="str">
        <f aca="false">IF($A686="","",INDEX(PlanningItemsList,5))</f>
        <v>Brake Shoe</v>
      </c>
      <c r="C686" s="7"/>
      <c r="D686" s="7"/>
    </row>
    <row r="687" customFormat="false" ht="15" hidden="false" customHeight="false" outlineLevel="0" collapsed="false">
      <c r="A687" s="6" t="str">
        <f aca="false">IF('DATA UNIT'!$B36="","",'DATA UNIT'!$B36)</f>
        <v>B 1395 ERA</v>
      </c>
      <c r="B687" s="6" t="str">
        <f aca="false">IF($A687="","",INDEX(PlanningItemsList,6))</f>
        <v>Accu</v>
      </c>
      <c r="C687" s="7"/>
      <c r="D687" s="7"/>
    </row>
    <row r="688" customFormat="false" ht="15" hidden="false" customHeight="false" outlineLevel="0" collapsed="false">
      <c r="A688" s="6" t="str">
        <f aca="false">IF('DATA UNIT'!$B36="","",'DATA UNIT'!$B36)</f>
        <v>B 1395 ERA</v>
      </c>
      <c r="B688" s="6" t="str">
        <f aca="false">IF($A688="","",INDEX(PlanningItemsList,7))</f>
        <v>Kampas Kopling Set</v>
      </c>
      <c r="C688" s="7"/>
      <c r="D688" s="7"/>
    </row>
    <row r="689" customFormat="false" ht="15" hidden="false" customHeight="false" outlineLevel="0" collapsed="false">
      <c r="A689" s="6" t="str">
        <f aca="false">IF('DATA UNIT'!$B36="","",'DATA UNIT'!$B36)</f>
        <v>B 1395 ERA</v>
      </c>
      <c r="B689" s="6" t="str">
        <f aca="false">IF($A689="","",INDEX(PlanningItemsList,8))</f>
        <v>Wiper Blade</v>
      </c>
      <c r="C689" s="7"/>
      <c r="D689" s="7"/>
    </row>
    <row r="690" customFormat="false" ht="15" hidden="false" customHeight="false" outlineLevel="0" collapsed="false">
      <c r="A690" s="6" t="str">
        <f aca="false">IF('DATA UNIT'!$B36="","",'DATA UNIT'!$B36)</f>
        <v>B 1395 ERA</v>
      </c>
      <c r="B690" s="6" t="str">
        <f aca="false">IF($A690="","",INDEX(PlanningItemsList,9))</f>
        <v>Ban Depan</v>
      </c>
      <c r="C690" s="7"/>
      <c r="D690" s="7"/>
    </row>
    <row r="691" customFormat="false" ht="15" hidden="false" customHeight="false" outlineLevel="0" collapsed="false">
      <c r="A691" s="6" t="str">
        <f aca="false">IF('DATA UNIT'!$B36="","",'DATA UNIT'!$B36)</f>
        <v>B 1395 ERA</v>
      </c>
      <c r="B691" s="6" t="str">
        <f aca="false">IF($A691="","",INDEX(PlanningItemsList,10))</f>
        <v>Ban Belakang</v>
      </c>
      <c r="C691" s="7"/>
      <c r="D691" s="7"/>
    </row>
    <row r="692" customFormat="false" ht="15" hidden="false" customHeight="false" outlineLevel="0" collapsed="false">
      <c r="A692" s="6" t="str">
        <f aca="false">IF('DATA UNIT'!$B36="","",'DATA UNIT'!$B36)</f>
        <v>B 1395 ERA</v>
      </c>
      <c r="B692" s="6" t="str">
        <f aca="false">IF($A692="","",INDEX(PlanningItemsList,11))</f>
        <v>Ban Serep</v>
      </c>
      <c r="C692" s="7"/>
      <c r="D692" s="7"/>
    </row>
    <row r="693" customFormat="false" ht="15" hidden="false" customHeight="false" outlineLevel="0" collapsed="false">
      <c r="A693" s="6" t="str">
        <f aca="false">IF('DATA UNIT'!$B36="","",'DATA UNIT'!$B36)</f>
        <v>B 1395 ERA</v>
      </c>
      <c r="B693" s="6" t="str">
        <f aca="false">IF($A693="","",INDEX(PlanningItemsList,12))</f>
        <v>Greasing</v>
      </c>
      <c r="C693" s="7"/>
      <c r="D693" s="7"/>
    </row>
    <row r="694" customFormat="false" ht="15" hidden="false" customHeight="false" outlineLevel="0" collapsed="false">
      <c r="A694" s="6" t="str">
        <f aca="false">IF('DATA UNIT'!$B36="","",'DATA UNIT'!$B36)</f>
        <v>B 1395 ERA</v>
      </c>
      <c r="B694" s="6" t="str">
        <f aca="false">IF($A694="","",INDEX(PlanningItemsList,13))</f>
        <v>V-Belt</v>
      </c>
      <c r="C694" s="7"/>
      <c r="D694" s="7"/>
    </row>
    <row r="695" customFormat="false" ht="15" hidden="false" customHeight="false" outlineLevel="0" collapsed="false">
      <c r="A695" s="6" t="str">
        <f aca="false">IF('DATA UNIT'!$B36="","",'DATA UNIT'!$B36)</f>
        <v>B 1395 ERA</v>
      </c>
      <c r="B695" s="6" t="str">
        <f aca="false">IF($A695="","",INDEX(PlanningItemsList,14))</f>
        <v>Sarung Jok</v>
      </c>
      <c r="C695" s="7"/>
      <c r="D695" s="7"/>
    </row>
    <row r="696" customFormat="false" ht="15" hidden="false" customHeight="false" outlineLevel="0" collapsed="false">
      <c r="A696" s="6" t="str">
        <f aca="false">IF('DATA UNIT'!$B36="","",'DATA UNIT'!$B36)</f>
        <v>B 1395 ERA</v>
      </c>
      <c r="B696" s="6" t="str">
        <f aca="false">IF($A696="","",INDEX(PlanningItemsList,15))</f>
        <v>Karpet Karet</v>
      </c>
      <c r="C696" s="7"/>
      <c r="D696" s="7"/>
    </row>
    <row r="697" customFormat="false" ht="15" hidden="false" customHeight="false" outlineLevel="0" collapsed="false">
      <c r="A697" s="6" t="str">
        <f aca="false">IF('DATA UNIT'!$B36="","",'DATA UNIT'!$B36)</f>
        <v>B 1395 ERA</v>
      </c>
      <c r="B697" s="6" t="str">
        <f aca="false">IF($A697="","",INDEX(PlanningItemsList,16))</f>
        <v>Karpet Dasar</v>
      </c>
      <c r="C697" s="7"/>
      <c r="D697" s="7"/>
    </row>
    <row r="698" customFormat="false" ht="15" hidden="false" customHeight="false" outlineLevel="0" collapsed="false">
      <c r="A698" s="6" t="str">
        <f aca="false">IF('DATA UNIT'!$B36="","",'DATA UNIT'!$B36)</f>
        <v>B 1395 ERA</v>
      </c>
      <c r="B698" s="6" t="str">
        <f aca="false">IF($A698="","",INDEX(PlanningItemsList,17))</f>
        <v>Flushing Radiator</v>
      </c>
      <c r="C698" s="7"/>
      <c r="D698" s="7"/>
    </row>
    <row r="699" customFormat="false" ht="15" hidden="false" customHeight="false" outlineLevel="0" collapsed="false">
      <c r="A699" s="6" t="str">
        <f aca="false">IF('DATA UNIT'!$B36="","",'DATA UNIT'!$B36)</f>
        <v>B 1395 ERA</v>
      </c>
      <c r="B699" s="6" t="str">
        <f aca="false">IF($A699="","",INDEX(PlanningItemsList,18))</f>
        <v>Flushing Steering</v>
      </c>
      <c r="C699" s="7"/>
      <c r="D699" s="7"/>
    </row>
    <row r="700" customFormat="false" ht="15" hidden="false" customHeight="false" outlineLevel="0" collapsed="false">
      <c r="A700" s="6" t="str">
        <f aca="false">IF('DATA UNIT'!$B36="","",'DATA UNIT'!$B36)</f>
        <v>B 1395 ERA</v>
      </c>
      <c r="B700" s="6" t="str">
        <f aca="false">IF($A700="","",INDEX(PlanningItemsList,19))</f>
        <v>Flushing Injector</v>
      </c>
      <c r="C700" s="7"/>
      <c r="D700" s="7"/>
    </row>
    <row r="701" customFormat="false" ht="15" hidden="false" customHeight="false" outlineLevel="0" collapsed="false">
      <c r="A701" s="6" t="str">
        <f aca="false">IF('DATA UNIT'!$B36="","",'DATA UNIT'!$B36)</f>
        <v>B 1395 ERA</v>
      </c>
      <c r="B701" s="6" t="str">
        <f aca="false">IF($A701="","",INDEX(PlanningItemsList,20))</f>
        <v>Flushing Rem</v>
      </c>
      <c r="C701" s="7"/>
      <c r="D701" s="7"/>
    </row>
    <row r="702" customFormat="false" ht="15" hidden="false" customHeight="false" outlineLevel="0" collapsed="false">
      <c r="A702" s="6" t="str">
        <f aca="false">IF('DATA UNIT'!$B37="","",'DATA UNIT'!$B37)</f>
        <v>B 2665 UKQ</v>
      </c>
      <c r="B702" s="6" t="str">
        <f aca="false">IF($A702="","",INDEX(PlanningItemsList,1))</f>
        <v>PM Check / Reguler Services</v>
      </c>
      <c r="C702" s="7"/>
      <c r="D702" s="7"/>
    </row>
    <row r="703" customFormat="false" ht="15" hidden="false" customHeight="false" outlineLevel="0" collapsed="false">
      <c r="A703" s="6" t="str">
        <f aca="false">IF('DATA UNIT'!$B37="","",'DATA UNIT'!$B37)</f>
        <v>B 2665 UKQ</v>
      </c>
      <c r="B703" s="6" t="str">
        <f aca="false">IF($A703="","",INDEX(PlanningItemsList,2))</f>
        <v>Service A</v>
      </c>
      <c r="C703" s="7"/>
      <c r="D703" s="7"/>
    </row>
    <row r="704" customFormat="false" ht="15" hidden="false" customHeight="false" outlineLevel="0" collapsed="false">
      <c r="A704" s="6" t="str">
        <f aca="false">IF('DATA UNIT'!$B37="","",'DATA UNIT'!$B37)</f>
        <v>B 2665 UKQ</v>
      </c>
      <c r="B704" s="6" t="str">
        <f aca="false">IF($A704="","",INDEX(PlanningItemsList,3))</f>
        <v>Service B</v>
      </c>
      <c r="C704" s="7"/>
      <c r="D704" s="7"/>
    </row>
    <row r="705" customFormat="false" ht="15" hidden="false" customHeight="false" outlineLevel="0" collapsed="false">
      <c r="A705" s="6" t="str">
        <f aca="false">IF('DATA UNIT'!$B37="","",'DATA UNIT'!$B37)</f>
        <v>B 2665 UKQ</v>
      </c>
      <c r="B705" s="6" t="str">
        <f aca="false">IF($A705="","",INDEX(PlanningItemsList,4))</f>
        <v>Brake Pad</v>
      </c>
      <c r="C705" s="7"/>
      <c r="D705" s="7"/>
    </row>
    <row r="706" customFormat="false" ht="15" hidden="false" customHeight="false" outlineLevel="0" collapsed="false">
      <c r="A706" s="6" t="str">
        <f aca="false">IF('DATA UNIT'!$B37="","",'DATA UNIT'!$B37)</f>
        <v>B 2665 UKQ</v>
      </c>
      <c r="B706" s="6" t="str">
        <f aca="false">IF($A706="","",INDEX(PlanningItemsList,5))</f>
        <v>Brake Shoe</v>
      </c>
      <c r="C706" s="7"/>
      <c r="D706" s="7"/>
    </row>
    <row r="707" customFormat="false" ht="15" hidden="false" customHeight="false" outlineLevel="0" collapsed="false">
      <c r="A707" s="6" t="str">
        <f aca="false">IF('DATA UNIT'!$B37="","",'DATA UNIT'!$B37)</f>
        <v>B 2665 UKQ</v>
      </c>
      <c r="B707" s="6" t="str">
        <f aca="false">IF($A707="","",INDEX(PlanningItemsList,6))</f>
        <v>Accu</v>
      </c>
      <c r="C707" s="7"/>
      <c r="D707" s="7"/>
    </row>
    <row r="708" customFormat="false" ht="15" hidden="false" customHeight="false" outlineLevel="0" collapsed="false">
      <c r="A708" s="6" t="str">
        <f aca="false">IF('DATA UNIT'!$B37="","",'DATA UNIT'!$B37)</f>
        <v>B 2665 UKQ</v>
      </c>
      <c r="B708" s="6" t="str">
        <f aca="false">IF($A708="","",INDEX(PlanningItemsList,7))</f>
        <v>Kampas Kopling Set</v>
      </c>
      <c r="C708" s="7"/>
      <c r="D708" s="7"/>
    </row>
    <row r="709" customFormat="false" ht="15" hidden="false" customHeight="false" outlineLevel="0" collapsed="false">
      <c r="A709" s="6" t="str">
        <f aca="false">IF('DATA UNIT'!$B37="","",'DATA UNIT'!$B37)</f>
        <v>B 2665 UKQ</v>
      </c>
      <c r="B709" s="6" t="str">
        <f aca="false">IF($A709="","",INDEX(PlanningItemsList,8))</f>
        <v>Wiper Blade</v>
      </c>
      <c r="C709" s="7"/>
      <c r="D709" s="7"/>
    </row>
    <row r="710" customFormat="false" ht="15" hidden="false" customHeight="false" outlineLevel="0" collapsed="false">
      <c r="A710" s="6" t="str">
        <f aca="false">IF('DATA UNIT'!$B37="","",'DATA UNIT'!$B37)</f>
        <v>B 2665 UKQ</v>
      </c>
      <c r="B710" s="6" t="str">
        <f aca="false">IF($A710="","",INDEX(PlanningItemsList,9))</f>
        <v>Ban Depan</v>
      </c>
      <c r="C710" s="7"/>
      <c r="D710" s="7"/>
    </row>
    <row r="711" customFormat="false" ht="15" hidden="false" customHeight="false" outlineLevel="0" collapsed="false">
      <c r="A711" s="6" t="str">
        <f aca="false">IF('DATA UNIT'!$B37="","",'DATA UNIT'!$B37)</f>
        <v>B 2665 UKQ</v>
      </c>
      <c r="B711" s="6" t="str">
        <f aca="false">IF($A711="","",INDEX(PlanningItemsList,10))</f>
        <v>Ban Belakang</v>
      </c>
      <c r="C711" s="7"/>
      <c r="D711" s="7"/>
    </row>
    <row r="712" customFormat="false" ht="15" hidden="false" customHeight="false" outlineLevel="0" collapsed="false">
      <c r="A712" s="6" t="str">
        <f aca="false">IF('DATA UNIT'!$B37="","",'DATA UNIT'!$B37)</f>
        <v>B 2665 UKQ</v>
      </c>
      <c r="B712" s="6" t="str">
        <f aca="false">IF($A712="","",INDEX(PlanningItemsList,11))</f>
        <v>Ban Serep</v>
      </c>
      <c r="C712" s="7"/>
      <c r="D712" s="7"/>
    </row>
    <row r="713" customFormat="false" ht="15" hidden="false" customHeight="false" outlineLevel="0" collapsed="false">
      <c r="A713" s="6" t="str">
        <f aca="false">IF('DATA UNIT'!$B37="","",'DATA UNIT'!$B37)</f>
        <v>B 2665 UKQ</v>
      </c>
      <c r="B713" s="6" t="str">
        <f aca="false">IF($A713="","",INDEX(PlanningItemsList,12))</f>
        <v>Greasing</v>
      </c>
      <c r="C713" s="7"/>
      <c r="D713" s="7"/>
    </row>
    <row r="714" customFormat="false" ht="15" hidden="false" customHeight="false" outlineLevel="0" collapsed="false">
      <c r="A714" s="6" t="str">
        <f aca="false">IF('DATA UNIT'!$B37="","",'DATA UNIT'!$B37)</f>
        <v>B 2665 UKQ</v>
      </c>
      <c r="B714" s="6" t="str">
        <f aca="false">IF($A714="","",INDEX(PlanningItemsList,13))</f>
        <v>V-Belt</v>
      </c>
      <c r="C714" s="7"/>
      <c r="D714" s="7"/>
    </row>
    <row r="715" customFormat="false" ht="15" hidden="false" customHeight="false" outlineLevel="0" collapsed="false">
      <c r="A715" s="6" t="str">
        <f aca="false">IF('DATA UNIT'!$B37="","",'DATA UNIT'!$B37)</f>
        <v>B 2665 UKQ</v>
      </c>
      <c r="B715" s="6" t="str">
        <f aca="false">IF($A715="","",INDEX(PlanningItemsList,14))</f>
        <v>Sarung Jok</v>
      </c>
      <c r="C715" s="7"/>
      <c r="D715" s="7"/>
    </row>
    <row r="716" customFormat="false" ht="15" hidden="false" customHeight="false" outlineLevel="0" collapsed="false">
      <c r="A716" s="6" t="str">
        <f aca="false">IF('DATA UNIT'!$B37="","",'DATA UNIT'!$B37)</f>
        <v>B 2665 UKQ</v>
      </c>
      <c r="B716" s="6" t="str">
        <f aca="false">IF($A716="","",INDEX(PlanningItemsList,15))</f>
        <v>Karpet Karet</v>
      </c>
      <c r="C716" s="7"/>
      <c r="D716" s="7"/>
    </row>
    <row r="717" customFormat="false" ht="15" hidden="false" customHeight="false" outlineLevel="0" collapsed="false">
      <c r="A717" s="6" t="str">
        <f aca="false">IF('DATA UNIT'!$B37="","",'DATA UNIT'!$B37)</f>
        <v>B 2665 UKQ</v>
      </c>
      <c r="B717" s="6" t="str">
        <f aca="false">IF($A717="","",INDEX(PlanningItemsList,16))</f>
        <v>Karpet Dasar</v>
      </c>
      <c r="C717" s="7"/>
      <c r="D717" s="7"/>
    </row>
    <row r="718" customFormat="false" ht="15" hidden="false" customHeight="false" outlineLevel="0" collapsed="false">
      <c r="A718" s="6" t="str">
        <f aca="false">IF('DATA UNIT'!$B37="","",'DATA UNIT'!$B37)</f>
        <v>B 2665 UKQ</v>
      </c>
      <c r="B718" s="6" t="str">
        <f aca="false">IF($A718="","",INDEX(PlanningItemsList,17))</f>
        <v>Flushing Radiator</v>
      </c>
      <c r="C718" s="7"/>
      <c r="D718" s="7"/>
    </row>
    <row r="719" customFormat="false" ht="15" hidden="false" customHeight="false" outlineLevel="0" collapsed="false">
      <c r="A719" s="6" t="str">
        <f aca="false">IF('DATA UNIT'!$B37="","",'DATA UNIT'!$B37)</f>
        <v>B 2665 UKQ</v>
      </c>
      <c r="B719" s="6" t="str">
        <f aca="false">IF($A719="","",INDEX(PlanningItemsList,18))</f>
        <v>Flushing Steering</v>
      </c>
      <c r="C719" s="7"/>
      <c r="D719" s="7"/>
    </row>
    <row r="720" customFormat="false" ht="15" hidden="false" customHeight="false" outlineLevel="0" collapsed="false">
      <c r="A720" s="6" t="str">
        <f aca="false">IF('DATA UNIT'!$B37="","",'DATA UNIT'!$B37)</f>
        <v>B 2665 UKQ</v>
      </c>
      <c r="B720" s="6" t="str">
        <f aca="false">IF($A720="","",INDEX(PlanningItemsList,19))</f>
        <v>Flushing Injector</v>
      </c>
      <c r="C720" s="7"/>
      <c r="D720" s="7"/>
    </row>
    <row r="721" customFormat="false" ht="15" hidden="false" customHeight="false" outlineLevel="0" collapsed="false">
      <c r="A721" s="6" t="str">
        <f aca="false">IF('DATA UNIT'!$B37="","",'DATA UNIT'!$B37)</f>
        <v>B 2665 UKQ</v>
      </c>
      <c r="B721" s="6" t="str">
        <f aca="false">IF($A721="","",INDEX(PlanningItemsList,20))</f>
        <v>Flushing Rem</v>
      </c>
      <c r="C721" s="7"/>
      <c r="D721" s="7"/>
    </row>
    <row r="722" customFormat="false" ht="15" hidden="false" customHeight="false" outlineLevel="0" collapsed="false">
      <c r="A722" s="6" t="str">
        <f aca="false">IF('DATA UNIT'!$B38="","",'DATA UNIT'!$B38)</f>
        <v>B 126 NAJ</v>
      </c>
      <c r="B722" s="6" t="str">
        <f aca="false">IF($A722="","",INDEX(PlanningItemsList,1))</f>
        <v>PM Check / Reguler Services</v>
      </c>
      <c r="C722" s="7"/>
      <c r="D722" s="7"/>
    </row>
    <row r="723" customFormat="false" ht="15" hidden="false" customHeight="false" outlineLevel="0" collapsed="false">
      <c r="A723" s="6" t="str">
        <f aca="false">IF('DATA UNIT'!$B38="","",'DATA UNIT'!$B38)</f>
        <v>B 126 NAJ</v>
      </c>
      <c r="B723" s="6" t="str">
        <f aca="false">IF($A723="","",INDEX(PlanningItemsList,2))</f>
        <v>Service A</v>
      </c>
      <c r="C723" s="7"/>
      <c r="D723" s="7"/>
    </row>
    <row r="724" customFormat="false" ht="15" hidden="false" customHeight="false" outlineLevel="0" collapsed="false">
      <c r="A724" s="6" t="str">
        <f aca="false">IF('DATA UNIT'!$B38="","",'DATA UNIT'!$B38)</f>
        <v>B 126 NAJ</v>
      </c>
      <c r="B724" s="6" t="str">
        <f aca="false">IF($A724="","",INDEX(PlanningItemsList,3))</f>
        <v>Service B</v>
      </c>
      <c r="C724" s="7"/>
      <c r="D724" s="7"/>
    </row>
    <row r="725" customFormat="false" ht="15" hidden="false" customHeight="false" outlineLevel="0" collapsed="false">
      <c r="A725" s="6" t="str">
        <f aca="false">IF('DATA UNIT'!$B38="","",'DATA UNIT'!$B38)</f>
        <v>B 126 NAJ</v>
      </c>
      <c r="B725" s="6" t="str">
        <f aca="false">IF($A725="","",INDEX(PlanningItemsList,4))</f>
        <v>Brake Pad</v>
      </c>
      <c r="C725" s="7"/>
      <c r="D725" s="7"/>
    </row>
    <row r="726" customFormat="false" ht="15" hidden="false" customHeight="false" outlineLevel="0" collapsed="false">
      <c r="A726" s="6" t="str">
        <f aca="false">IF('DATA UNIT'!$B38="","",'DATA UNIT'!$B38)</f>
        <v>B 126 NAJ</v>
      </c>
      <c r="B726" s="6" t="str">
        <f aca="false">IF($A726="","",INDEX(PlanningItemsList,5))</f>
        <v>Brake Shoe</v>
      </c>
      <c r="C726" s="7"/>
      <c r="D726" s="7"/>
    </row>
    <row r="727" customFormat="false" ht="15" hidden="false" customHeight="false" outlineLevel="0" collapsed="false">
      <c r="A727" s="6" t="str">
        <f aca="false">IF('DATA UNIT'!$B38="","",'DATA UNIT'!$B38)</f>
        <v>B 126 NAJ</v>
      </c>
      <c r="B727" s="6" t="str">
        <f aca="false">IF($A727="","",INDEX(PlanningItemsList,6))</f>
        <v>Accu</v>
      </c>
      <c r="C727" s="7"/>
      <c r="D727" s="7"/>
    </row>
    <row r="728" customFormat="false" ht="15" hidden="false" customHeight="false" outlineLevel="0" collapsed="false">
      <c r="A728" s="6" t="str">
        <f aca="false">IF('DATA UNIT'!$B38="","",'DATA UNIT'!$B38)</f>
        <v>B 126 NAJ</v>
      </c>
      <c r="B728" s="6" t="str">
        <f aca="false">IF($A728="","",INDEX(PlanningItemsList,7))</f>
        <v>Kampas Kopling Set</v>
      </c>
      <c r="C728" s="7"/>
      <c r="D728" s="7"/>
    </row>
    <row r="729" customFormat="false" ht="15" hidden="false" customHeight="false" outlineLevel="0" collapsed="false">
      <c r="A729" s="6" t="str">
        <f aca="false">IF('DATA UNIT'!$B38="","",'DATA UNIT'!$B38)</f>
        <v>B 126 NAJ</v>
      </c>
      <c r="B729" s="6" t="str">
        <f aca="false">IF($A729="","",INDEX(PlanningItemsList,8))</f>
        <v>Wiper Blade</v>
      </c>
      <c r="C729" s="7"/>
      <c r="D729" s="7"/>
    </row>
    <row r="730" customFormat="false" ht="15" hidden="false" customHeight="false" outlineLevel="0" collapsed="false">
      <c r="A730" s="6" t="str">
        <f aca="false">IF('DATA UNIT'!$B38="","",'DATA UNIT'!$B38)</f>
        <v>B 126 NAJ</v>
      </c>
      <c r="B730" s="6" t="str">
        <f aca="false">IF($A730="","",INDEX(PlanningItemsList,9))</f>
        <v>Ban Depan</v>
      </c>
      <c r="C730" s="7"/>
      <c r="D730" s="7"/>
    </row>
    <row r="731" customFormat="false" ht="15" hidden="false" customHeight="false" outlineLevel="0" collapsed="false">
      <c r="A731" s="6" t="str">
        <f aca="false">IF('DATA UNIT'!$B38="","",'DATA UNIT'!$B38)</f>
        <v>B 126 NAJ</v>
      </c>
      <c r="B731" s="6" t="str">
        <f aca="false">IF($A731="","",INDEX(PlanningItemsList,10))</f>
        <v>Ban Belakang</v>
      </c>
      <c r="C731" s="7"/>
      <c r="D731" s="7"/>
    </row>
    <row r="732" customFormat="false" ht="15" hidden="false" customHeight="false" outlineLevel="0" collapsed="false">
      <c r="A732" s="6" t="str">
        <f aca="false">IF('DATA UNIT'!$B38="","",'DATA UNIT'!$B38)</f>
        <v>B 126 NAJ</v>
      </c>
      <c r="B732" s="6" t="str">
        <f aca="false">IF($A732="","",INDEX(PlanningItemsList,11))</f>
        <v>Ban Serep</v>
      </c>
      <c r="C732" s="7"/>
      <c r="D732" s="7"/>
    </row>
    <row r="733" customFormat="false" ht="15" hidden="false" customHeight="false" outlineLevel="0" collapsed="false">
      <c r="A733" s="6" t="str">
        <f aca="false">IF('DATA UNIT'!$B38="","",'DATA UNIT'!$B38)</f>
        <v>B 126 NAJ</v>
      </c>
      <c r="B733" s="6" t="str">
        <f aca="false">IF($A733="","",INDEX(PlanningItemsList,12))</f>
        <v>Greasing</v>
      </c>
      <c r="C733" s="7"/>
      <c r="D733" s="7"/>
    </row>
    <row r="734" customFormat="false" ht="15" hidden="false" customHeight="false" outlineLevel="0" collapsed="false">
      <c r="A734" s="6" t="str">
        <f aca="false">IF('DATA UNIT'!$B38="","",'DATA UNIT'!$B38)</f>
        <v>B 126 NAJ</v>
      </c>
      <c r="B734" s="6" t="str">
        <f aca="false">IF($A734="","",INDEX(PlanningItemsList,13))</f>
        <v>V-Belt</v>
      </c>
      <c r="C734" s="7"/>
      <c r="D734" s="7"/>
    </row>
    <row r="735" customFormat="false" ht="15" hidden="false" customHeight="false" outlineLevel="0" collapsed="false">
      <c r="A735" s="6" t="str">
        <f aca="false">IF('DATA UNIT'!$B38="","",'DATA UNIT'!$B38)</f>
        <v>B 126 NAJ</v>
      </c>
      <c r="B735" s="6" t="str">
        <f aca="false">IF($A735="","",INDEX(PlanningItemsList,14))</f>
        <v>Sarung Jok</v>
      </c>
      <c r="C735" s="7"/>
      <c r="D735" s="7"/>
    </row>
    <row r="736" customFormat="false" ht="15" hidden="false" customHeight="false" outlineLevel="0" collapsed="false">
      <c r="A736" s="6" t="str">
        <f aca="false">IF('DATA UNIT'!$B38="","",'DATA UNIT'!$B38)</f>
        <v>B 126 NAJ</v>
      </c>
      <c r="B736" s="6" t="str">
        <f aca="false">IF($A736="","",INDEX(PlanningItemsList,15))</f>
        <v>Karpet Karet</v>
      </c>
      <c r="C736" s="7"/>
      <c r="D736" s="7"/>
    </row>
    <row r="737" customFormat="false" ht="15" hidden="false" customHeight="false" outlineLevel="0" collapsed="false">
      <c r="A737" s="6" t="str">
        <f aca="false">IF('DATA UNIT'!$B38="","",'DATA UNIT'!$B38)</f>
        <v>B 126 NAJ</v>
      </c>
      <c r="B737" s="6" t="str">
        <f aca="false">IF($A737="","",INDEX(PlanningItemsList,16))</f>
        <v>Karpet Dasar</v>
      </c>
      <c r="C737" s="7"/>
      <c r="D737" s="7"/>
    </row>
    <row r="738" customFormat="false" ht="15" hidden="false" customHeight="false" outlineLevel="0" collapsed="false">
      <c r="A738" s="6" t="str">
        <f aca="false">IF('DATA UNIT'!$B38="","",'DATA UNIT'!$B38)</f>
        <v>B 126 NAJ</v>
      </c>
      <c r="B738" s="6" t="str">
        <f aca="false">IF($A738="","",INDEX(PlanningItemsList,17))</f>
        <v>Flushing Radiator</v>
      </c>
      <c r="C738" s="7"/>
      <c r="D738" s="7"/>
    </row>
    <row r="739" customFormat="false" ht="15" hidden="false" customHeight="false" outlineLevel="0" collapsed="false">
      <c r="A739" s="6" t="str">
        <f aca="false">IF('DATA UNIT'!$B38="","",'DATA UNIT'!$B38)</f>
        <v>B 126 NAJ</v>
      </c>
      <c r="B739" s="6" t="str">
        <f aca="false">IF($A739="","",INDEX(PlanningItemsList,18))</f>
        <v>Flushing Steering</v>
      </c>
      <c r="C739" s="7"/>
      <c r="D739" s="7"/>
    </row>
    <row r="740" customFormat="false" ht="15" hidden="false" customHeight="false" outlineLevel="0" collapsed="false">
      <c r="A740" s="6" t="str">
        <f aca="false">IF('DATA UNIT'!$B38="","",'DATA UNIT'!$B38)</f>
        <v>B 126 NAJ</v>
      </c>
      <c r="B740" s="6" t="str">
        <f aca="false">IF($A740="","",INDEX(PlanningItemsList,19))</f>
        <v>Flushing Injector</v>
      </c>
      <c r="C740" s="7"/>
      <c r="D740" s="7"/>
    </row>
    <row r="741" customFormat="false" ht="15" hidden="false" customHeight="false" outlineLevel="0" collapsed="false">
      <c r="A741" s="6" t="str">
        <f aca="false">IF('DATA UNIT'!$B38="","",'DATA UNIT'!$B38)</f>
        <v>B 126 NAJ</v>
      </c>
      <c r="B741" s="6" t="str">
        <f aca="false">IF($A741="","",INDEX(PlanningItemsList,20))</f>
        <v>Flushing Rem</v>
      </c>
      <c r="C741" s="7"/>
      <c r="D741" s="7"/>
    </row>
    <row r="742" customFormat="false" ht="15" hidden="false" customHeight="false" outlineLevel="0" collapsed="false">
      <c r="A742" s="6" t="str">
        <f aca="false">IF('DATA UNIT'!$B39="","",'DATA UNIT'!$B39)</f>
        <v>DT 8594 GE</v>
      </c>
      <c r="B742" s="6" t="str">
        <f aca="false">IF($A742="","",INDEX(PlanningItemsList,1))</f>
        <v>PM Check / Reguler Services</v>
      </c>
      <c r="C742" s="7"/>
      <c r="D742" s="7"/>
    </row>
    <row r="743" customFormat="false" ht="15" hidden="false" customHeight="false" outlineLevel="0" collapsed="false">
      <c r="A743" s="6" t="str">
        <f aca="false">IF('DATA UNIT'!$B39="","",'DATA UNIT'!$B39)</f>
        <v>DT 8594 GE</v>
      </c>
      <c r="B743" s="6" t="str">
        <f aca="false">IF($A743="","",INDEX(PlanningItemsList,2))</f>
        <v>Service A</v>
      </c>
      <c r="C743" s="7"/>
      <c r="D743" s="7"/>
    </row>
    <row r="744" customFormat="false" ht="15" hidden="false" customHeight="false" outlineLevel="0" collapsed="false">
      <c r="A744" s="6" t="str">
        <f aca="false">IF('DATA UNIT'!$B39="","",'DATA UNIT'!$B39)</f>
        <v>DT 8594 GE</v>
      </c>
      <c r="B744" s="6" t="str">
        <f aca="false">IF($A744="","",INDEX(PlanningItemsList,3))</f>
        <v>Service B</v>
      </c>
      <c r="C744" s="7"/>
      <c r="D744" s="7"/>
    </row>
    <row r="745" customFormat="false" ht="15" hidden="false" customHeight="false" outlineLevel="0" collapsed="false">
      <c r="A745" s="6" t="str">
        <f aca="false">IF('DATA UNIT'!$B39="","",'DATA UNIT'!$B39)</f>
        <v>DT 8594 GE</v>
      </c>
      <c r="B745" s="6" t="str">
        <f aca="false">IF($A745="","",INDEX(PlanningItemsList,4))</f>
        <v>Brake Pad</v>
      </c>
      <c r="C745" s="7"/>
      <c r="D745" s="7"/>
    </row>
    <row r="746" customFormat="false" ht="15" hidden="false" customHeight="false" outlineLevel="0" collapsed="false">
      <c r="A746" s="6" t="str">
        <f aca="false">IF('DATA UNIT'!$B39="","",'DATA UNIT'!$B39)</f>
        <v>DT 8594 GE</v>
      </c>
      <c r="B746" s="6" t="str">
        <f aca="false">IF($A746="","",INDEX(PlanningItemsList,5))</f>
        <v>Brake Shoe</v>
      </c>
      <c r="C746" s="7"/>
      <c r="D746" s="7"/>
    </row>
    <row r="747" customFormat="false" ht="15" hidden="false" customHeight="false" outlineLevel="0" collapsed="false">
      <c r="A747" s="6" t="str">
        <f aca="false">IF('DATA UNIT'!$B39="","",'DATA UNIT'!$B39)</f>
        <v>DT 8594 GE</v>
      </c>
      <c r="B747" s="6" t="str">
        <f aca="false">IF($A747="","",INDEX(PlanningItemsList,6))</f>
        <v>Accu</v>
      </c>
      <c r="C747" s="7"/>
      <c r="D747" s="7"/>
    </row>
    <row r="748" customFormat="false" ht="15" hidden="false" customHeight="false" outlineLevel="0" collapsed="false">
      <c r="A748" s="6" t="str">
        <f aca="false">IF('DATA UNIT'!$B39="","",'DATA UNIT'!$B39)</f>
        <v>DT 8594 GE</v>
      </c>
      <c r="B748" s="6" t="str">
        <f aca="false">IF($A748="","",INDEX(PlanningItemsList,7))</f>
        <v>Kampas Kopling Set</v>
      </c>
      <c r="C748" s="7"/>
      <c r="D748" s="7"/>
    </row>
    <row r="749" customFormat="false" ht="15" hidden="false" customHeight="false" outlineLevel="0" collapsed="false">
      <c r="A749" s="6" t="str">
        <f aca="false">IF('DATA UNIT'!$B39="","",'DATA UNIT'!$B39)</f>
        <v>DT 8594 GE</v>
      </c>
      <c r="B749" s="6" t="str">
        <f aca="false">IF($A749="","",INDEX(PlanningItemsList,8))</f>
        <v>Wiper Blade</v>
      </c>
      <c r="C749" s="7"/>
      <c r="D749" s="7"/>
    </row>
    <row r="750" customFormat="false" ht="15" hidden="false" customHeight="false" outlineLevel="0" collapsed="false">
      <c r="A750" s="6" t="str">
        <f aca="false">IF('DATA UNIT'!$B39="","",'DATA UNIT'!$B39)</f>
        <v>DT 8594 GE</v>
      </c>
      <c r="B750" s="6" t="str">
        <f aca="false">IF($A750="","",INDEX(PlanningItemsList,9))</f>
        <v>Ban Depan</v>
      </c>
      <c r="C750" s="7"/>
      <c r="D750" s="7"/>
    </row>
    <row r="751" customFormat="false" ht="15" hidden="false" customHeight="false" outlineLevel="0" collapsed="false">
      <c r="A751" s="6" t="str">
        <f aca="false">IF('DATA UNIT'!$B39="","",'DATA UNIT'!$B39)</f>
        <v>DT 8594 GE</v>
      </c>
      <c r="B751" s="6" t="str">
        <f aca="false">IF($A751="","",INDEX(PlanningItemsList,10))</f>
        <v>Ban Belakang</v>
      </c>
      <c r="C751" s="7"/>
      <c r="D751" s="7"/>
    </row>
    <row r="752" customFormat="false" ht="15" hidden="false" customHeight="false" outlineLevel="0" collapsed="false">
      <c r="A752" s="6" t="str">
        <f aca="false">IF('DATA UNIT'!$B39="","",'DATA UNIT'!$B39)</f>
        <v>DT 8594 GE</v>
      </c>
      <c r="B752" s="6" t="str">
        <f aca="false">IF($A752="","",INDEX(PlanningItemsList,11))</f>
        <v>Ban Serep</v>
      </c>
      <c r="C752" s="7"/>
      <c r="D752" s="7"/>
    </row>
    <row r="753" customFormat="false" ht="15" hidden="false" customHeight="false" outlineLevel="0" collapsed="false">
      <c r="A753" s="6" t="str">
        <f aca="false">IF('DATA UNIT'!$B39="","",'DATA UNIT'!$B39)</f>
        <v>DT 8594 GE</v>
      </c>
      <c r="B753" s="6" t="str">
        <f aca="false">IF($A753="","",INDEX(PlanningItemsList,12))</f>
        <v>Greasing</v>
      </c>
      <c r="C753" s="7"/>
      <c r="D753" s="7"/>
    </row>
    <row r="754" customFormat="false" ht="15" hidden="false" customHeight="false" outlineLevel="0" collapsed="false">
      <c r="A754" s="6" t="str">
        <f aca="false">IF('DATA UNIT'!$B39="","",'DATA UNIT'!$B39)</f>
        <v>DT 8594 GE</v>
      </c>
      <c r="B754" s="6" t="str">
        <f aca="false">IF($A754="","",INDEX(PlanningItemsList,13))</f>
        <v>V-Belt</v>
      </c>
      <c r="C754" s="7"/>
      <c r="D754" s="7"/>
    </row>
    <row r="755" customFormat="false" ht="15" hidden="false" customHeight="false" outlineLevel="0" collapsed="false">
      <c r="A755" s="6" t="str">
        <f aca="false">IF('DATA UNIT'!$B39="","",'DATA UNIT'!$B39)</f>
        <v>DT 8594 GE</v>
      </c>
      <c r="B755" s="6" t="str">
        <f aca="false">IF($A755="","",INDEX(PlanningItemsList,14))</f>
        <v>Sarung Jok</v>
      </c>
      <c r="C755" s="7"/>
      <c r="D755" s="7"/>
    </row>
    <row r="756" customFormat="false" ht="15" hidden="false" customHeight="false" outlineLevel="0" collapsed="false">
      <c r="A756" s="6" t="str">
        <f aca="false">IF('DATA UNIT'!$B39="","",'DATA UNIT'!$B39)</f>
        <v>DT 8594 GE</v>
      </c>
      <c r="B756" s="6" t="str">
        <f aca="false">IF($A756="","",INDEX(PlanningItemsList,15))</f>
        <v>Karpet Karet</v>
      </c>
      <c r="C756" s="7"/>
      <c r="D756" s="7"/>
    </row>
    <row r="757" customFormat="false" ht="15" hidden="false" customHeight="false" outlineLevel="0" collapsed="false">
      <c r="A757" s="6" t="str">
        <f aca="false">IF('DATA UNIT'!$B39="","",'DATA UNIT'!$B39)</f>
        <v>DT 8594 GE</v>
      </c>
      <c r="B757" s="6" t="str">
        <f aca="false">IF($A757="","",INDEX(PlanningItemsList,16))</f>
        <v>Karpet Dasar</v>
      </c>
      <c r="C757" s="7"/>
      <c r="D757" s="7"/>
    </row>
    <row r="758" customFormat="false" ht="15" hidden="false" customHeight="false" outlineLevel="0" collapsed="false">
      <c r="A758" s="6" t="str">
        <f aca="false">IF('DATA UNIT'!$B39="","",'DATA UNIT'!$B39)</f>
        <v>DT 8594 GE</v>
      </c>
      <c r="B758" s="6" t="str">
        <f aca="false">IF($A758="","",INDEX(PlanningItemsList,17))</f>
        <v>Flushing Radiator</v>
      </c>
      <c r="C758" s="7"/>
      <c r="D758" s="7"/>
    </row>
    <row r="759" customFormat="false" ht="15" hidden="false" customHeight="false" outlineLevel="0" collapsed="false">
      <c r="A759" s="6" t="str">
        <f aca="false">IF('DATA UNIT'!$B39="","",'DATA UNIT'!$B39)</f>
        <v>DT 8594 GE</v>
      </c>
      <c r="B759" s="6" t="str">
        <f aca="false">IF($A759="","",INDEX(PlanningItemsList,18))</f>
        <v>Flushing Steering</v>
      </c>
      <c r="C759" s="7"/>
      <c r="D759" s="7"/>
    </row>
    <row r="760" customFormat="false" ht="15" hidden="false" customHeight="false" outlineLevel="0" collapsed="false">
      <c r="A760" s="6" t="str">
        <f aca="false">IF('DATA UNIT'!$B39="","",'DATA UNIT'!$B39)</f>
        <v>DT 8594 GE</v>
      </c>
      <c r="B760" s="6" t="str">
        <f aca="false">IF($A760="","",INDEX(PlanningItemsList,19))</f>
        <v>Flushing Injector</v>
      </c>
      <c r="C760" s="7"/>
      <c r="D760" s="7"/>
    </row>
    <row r="761" customFormat="false" ht="15" hidden="false" customHeight="false" outlineLevel="0" collapsed="false">
      <c r="A761" s="6" t="str">
        <f aca="false">IF('DATA UNIT'!$B39="","",'DATA UNIT'!$B39)</f>
        <v>DT 8594 GE</v>
      </c>
      <c r="B761" s="6" t="str">
        <f aca="false">IF($A761="","",INDEX(PlanningItemsList,20))</f>
        <v>Flushing Rem</v>
      </c>
      <c r="C761" s="7"/>
      <c r="D761" s="7"/>
    </row>
    <row r="762" customFormat="false" ht="15" hidden="false" customHeight="false" outlineLevel="0" collapsed="false">
      <c r="A762" s="6" t="str">
        <f aca="false">IF('DATA UNIT'!$B40="","",'DATA UNIT'!$B40)</f>
        <v>DT 8863 GE</v>
      </c>
      <c r="B762" s="6" t="str">
        <f aca="false">IF($A762="","",INDEX(PlanningItemsList,1))</f>
        <v>PM Check / Reguler Services</v>
      </c>
      <c r="C762" s="7"/>
      <c r="D762" s="7"/>
    </row>
    <row r="763" customFormat="false" ht="15" hidden="false" customHeight="false" outlineLevel="0" collapsed="false">
      <c r="A763" s="6" t="str">
        <f aca="false">IF('DATA UNIT'!$B40="","",'DATA UNIT'!$B40)</f>
        <v>DT 8863 GE</v>
      </c>
      <c r="B763" s="6" t="str">
        <f aca="false">IF($A763="","",INDEX(PlanningItemsList,2))</f>
        <v>Service A</v>
      </c>
      <c r="C763" s="7"/>
      <c r="D763" s="7"/>
    </row>
    <row r="764" customFormat="false" ht="15" hidden="false" customHeight="false" outlineLevel="0" collapsed="false">
      <c r="A764" s="6" t="str">
        <f aca="false">IF('DATA UNIT'!$B40="","",'DATA UNIT'!$B40)</f>
        <v>DT 8863 GE</v>
      </c>
      <c r="B764" s="6" t="str">
        <f aca="false">IF($A764="","",INDEX(PlanningItemsList,3))</f>
        <v>Service B</v>
      </c>
      <c r="C764" s="7"/>
      <c r="D764" s="7"/>
    </row>
    <row r="765" customFormat="false" ht="15" hidden="false" customHeight="false" outlineLevel="0" collapsed="false">
      <c r="A765" s="6" t="str">
        <f aca="false">IF('DATA UNIT'!$B40="","",'DATA UNIT'!$B40)</f>
        <v>DT 8863 GE</v>
      </c>
      <c r="B765" s="6" t="str">
        <f aca="false">IF($A765="","",INDEX(PlanningItemsList,4))</f>
        <v>Brake Pad</v>
      </c>
      <c r="C765" s="7"/>
      <c r="D765" s="7"/>
    </row>
    <row r="766" customFormat="false" ht="15" hidden="false" customHeight="false" outlineLevel="0" collapsed="false">
      <c r="A766" s="6" t="str">
        <f aca="false">IF('DATA UNIT'!$B40="","",'DATA UNIT'!$B40)</f>
        <v>DT 8863 GE</v>
      </c>
      <c r="B766" s="6" t="str">
        <f aca="false">IF($A766="","",INDEX(PlanningItemsList,5))</f>
        <v>Brake Shoe</v>
      </c>
      <c r="C766" s="7"/>
      <c r="D766" s="7"/>
    </row>
    <row r="767" customFormat="false" ht="15" hidden="false" customHeight="false" outlineLevel="0" collapsed="false">
      <c r="A767" s="6" t="str">
        <f aca="false">IF('DATA UNIT'!$B40="","",'DATA UNIT'!$B40)</f>
        <v>DT 8863 GE</v>
      </c>
      <c r="B767" s="6" t="str">
        <f aca="false">IF($A767="","",INDEX(PlanningItemsList,6))</f>
        <v>Accu</v>
      </c>
      <c r="C767" s="7"/>
      <c r="D767" s="7"/>
    </row>
    <row r="768" customFormat="false" ht="15" hidden="false" customHeight="false" outlineLevel="0" collapsed="false">
      <c r="A768" s="6" t="str">
        <f aca="false">IF('DATA UNIT'!$B40="","",'DATA UNIT'!$B40)</f>
        <v>DT 8863 GE</v>
      </c>
      <c r="B768" s="6" t="str">
        <f aca="false">IF($A768="","",INDEX(PlanningItemsList,7))</f>
        <v>Kampas Kopling Set</v>
      </c>
      <c r="C768" s="7"/>
      <c r="D768" s="7"/>
    </row>
    <row r="769" customFormat="false" ht="15" hidden="false" customHeight="false" outlineLevel="0" collapsed="false">
      <c r="A769" s="6" t="str">
        <f aca="false">IF('DATA UNIT'!$B40="","",'DATA UNIT'!$B40)</f>
        <v>DT 8863 GE</v>
      </c>
      <c r="B769" s="6" t="str">
        <f aca="false">IF($A769="","",INDEX(PlanningItemsList,8))</f>
        <v>Wiper Blade</v>
      </c>
      <c r="C769" s="7"/>
      <c r="D769" s="7"/>
    </row>
    <row r="770" customFormat="false" ht="15" hidden="false" customHeight="false" outlineLevel="0" collapsed="false">
      <c r="A770" s="6" t="str">
        <f aca="false">IF('DATA UNIT'!$B40="","",'DATA UNIT'!$B40)</f>
        <v>DT 8863 GE</v>
      </c>
      <c r="B770" s="6" t="str">
        <f aca="false">IF($A770="","",INDEX(PlanningItemsList,9))</f>
        <v>Ban Depan</v>
      </c>
      <c r="C770" s="7"/>
      <c r="D770" s="7"/>
    </row>
    <row r="771" customFormat="false" ht="15" hidden="false" customHeight="false" outlineLevel="0" collapsed="false">
      <c r="A771" s="6" t="str">
        <f aca="false">IF('DATA UNIT'!$B40="","",'DATA UNIT'!$B40)</f>
        <v>DT 8863 GE</v>
      </c>
      <c r="B771" s="6" t="str">
        <f aca="false">IF($A771="","",INDEX(PlanningItemsList,10))</f>
        <v>Ban Belakang</v>
      </c>
      <c r="C771" s="7"/>
      <c r="D771" s="7"/>
    </row>
    <row r="772" customFormat="false" ht="15" hidden="false" customHeight="false" outlineLevel="0" collapsed="false">
      <c r="A772" s="6" t="str">
        <f aca="false">IF('DATA UNIT'!$B40="","",'DATA UNIT'!$B40)</f>
        <v>DT 8863 GE</v>
      </c>
      <c r="B772" s="6" t="str">
        <f aca="false">IF($A772="","",INDEX(PlanningItemsList,11))</f>
        <v>Ban Serep</v>
      </c>
      <c r="C772" s="7"/>
      <c r="D772" s="7"/>
    </row>
    <row r="773" customFormat="false" ht="15" hidden="false" customHeight="false" outlineLevel="0" collapsed="false">
      <c r="A773" s="6" t="str">
        <f aca="false">IF('DATA UNIT'!$B40="","",'DATA UNIT'!$B40)</f>
        <v>DT 8863 GE</v>
      </c>
      <c r="B773" s="6" t="str">
        <f aca="false">IF($A773="","",INDEX(PlanningItemsList,12))</f>
        <v>Greasing</v>
      </c>
      <c r="C773" s="7"/>
      <c r="D773" s="7"/>
    </row>
    <row r="774" customFormat="false" ht="15" hidden="false" customHeight="false" outlineLevel="0" collapsed="false">
      <c r="A774" s="6" t="str">
        <f aca="false">IF('DATA UNIT'!$B40="","",'DATA UNIT'!$B40)</f>
        <v>DT 8863 GE</v>
      </c>
      <c r="B774" s="6" t="str">
        <f aca="false">IF($A774="","",INDEX(PlanningItemsList,13))</f>
        <v>V-Belt</v>
      </c>
      <c r="C774" s="7"/>
      <c r="D774" s="7"/>
    </row>
    <row r="775" customFormat="false" ht="15" hidden="false" customHeight="false" outlineLevel="0" collapsed="false">
      <c r="A775" s="6" t="str">
        <f aca="false">IF('DATA UNIT'!$B40="","",'DATA UNIT'!$B40)</f>
        <v>DT 8863 GE</v>
      </c>
      <c r="B775" s="6" t="str">
        <f aca="false">IF($A775="","",INDEX(PlanningItemsList,14))</f>
        <v>Sarung Jok</v>
      </c>
      <c r="C775" s="7"/>
      <c r="D775" s="7"/>
    </row>
    <row r="776" customFormat="false" ht="15" hidden="false" customHeight="false" outlineLevel="0" collapsed="false">
      <c r="A776" s="6" t="str">
        <f aca="false">IF('DATA UNIT'!$B40="","",'DATA UNIT'!$B40)</f>
        <v>DT 8863 GE</v>
      </c>
      <c r="B776" s="6" t="str">
        <f aca="false">IF($A776="","",INDEX(PlanningItemsList,15))</f>
        <v>Karpet Karet</v>
      </c>
      <c r="C776" s="7"/>
      <c r="D776" s="7"/>
    </row>
    <row r="777" customFormat="false" ht="15" hidden="false" customHeight="false" outlineLevel="0" collapsed="false">
      <c r="A777" s="6" t="str">
        <f aca="false">IF('DATA UNIT'!$B40="","",'DATA UNIT'!$B40)</f>
        <v>DT 8863 GE</v>
      </c>
      <c r="B777" s="6" t="str">
        <f aca="false">IF($A777="","",INDEX(PlanningItemsList,16))</f>
        <v>Karpet Dasar</v>
      </c>
      <c r="C777" s="7"/>
      <c r="D777" s="7"/>
    </row>
    <row r="778" customFormat="false" ht="15" hidden="false" customHeight="false" outlineLevel="0" collapsed="false">
      <c r="A778" s="6" t="str">
        <f aca="false">IF('DATA UNIT'!$B40="","",'DATA UNIT'!$B40)</f>
        <v>DT 8863 GE</v>
      </c>
      <c r="B778" s="6" t="str">
        <f aca="false">IF($A778="","",INDEX(PlanningItemsList,17))</f>
        <v>Flushing Radiator</v>
      </c>
      <c r="C778" s="7"/>
      <c r="D778" s="7"/>
    </row>
    <row r="779" customFormat="false" ht="15" hidden="false" customHeight="false" outlineLevel="0" collapsed="false">
      <c r="A779" s="6" t="str">
        <f aca="false">IF('DATA UNIT'!$B40="","",'DATA UNIT'!$B40)</f>
        <v>DT 8863 GE</v>
      </c>
      <c r="B779" s="6" t="str">
        <f aca="false">IF($A779="","",INDEX(PlanningItemsList,18))</f>
        <v>Flushing Steering</v>
      </c>
      <c r="C779" s="7"/>
      <c r="D779" s="7"/>
    </row>
    <row r="780" customFormat="false" ht="15" hidden="false" customHeight="false" outlineLevel="0" collapsed="false">
      <c r="A780" s="6" t="str">
        <f aca="false">IF('DATA UNIT'!$B40="","",'DATA UNIT'!$B40)</f>
        <v>DT 8863 GE</v>
      </c>
      <c r="B780" s="6" t="str">
        <f aca="false">IF($A780="","",INDEX(PlanningItemsList,19))</f>
        <v>Flushing Injector</v>
      </c>
      <c r="C780" s="7"/>
      <c r="D780" s="7"/>
    </row>
    <row r="781" customFormat="false" ht="15" hidden="false" customHeight="false" outlineLevel="0" collapsed="false">
      <c r="A781" s="6" t="str">
        <f aca="false">IF('DATA UNIT'!$B40="","",'DATA UNIT'!$B40)</f>
        <v>DT 8863 GE</v>
      </c>
      <c r="B781" s="6" t="str">
        <f aca="false">IF($A781="","",INDEX(PlanningItemsList,20))</f>
        <v>Flushing Rem</v>
      </c>
      <c r="C781" s="7"/>
      <c r="D781" s="7"/>
    </row>
    <row r="782" customFormat="false" ht="15" hidden="false" customHeight="false" outlineLevel="0" collapsed="false">
      <c r="A782" s="6" t="str">
        <f aca="false">IF('DATA UNIT'!$B41="","",'DATA UNIT'!$B41)</f>
        <v>B 2547 UOU</v>
      </c>
      <c r="B782" s="6" t="str">
        <f aca="false">IF($A782="","",INDEX(PlanningItemsList,1))</f>
        <v>PM Check / Reguler Services</v>
      </c>
      <c r="C782" s="7"/>
      <c r="D782" s="7"/>
    </row>
    <row r="783" customFormat="false" ht="15" hidden="false" customHeight="false" outlineLevel="0" collapsed="false">
      <c r="A783" s="6" t="str">
        <f aca="false">IF('DATA UNIT'!$B41="","",'DATA UNIT'!$B41)</f>
        <v>B 2547 UOU</v>
      </c>
      <c r="B783" s="6" t="str">
        <f aca="false">IF($A783="","",INDEX(PlanningItemsList,2))</f>
        <v>Service A</v>
      </c>
      <c r="C783" s="7"/>
      <c r="D783" s="7"/>
    </row>
    <row r="784" customFormat="false" ht="15" hidden="false" customHeight="false" outlineLevel="0" collapsed="false">
      <c r="A784" s="6" t="str">
        <f aca="false">IF('DATA UNIT'!$B41="","",'DATA UNIT'!$B41)</f>
        <v>B 2547 UOU</v>
      </c>
      <c r="B784" s="6" t="str">
        <f aca="false">IF($A784="","",INDEX(PlanningItemsList,3))</f>
        <v>Service B</v>
      </c>
      <c r="C784" s="7"/>
      <c r="D784" s="7"/>
    </row>
    <row r="785" customFormat="false" ht="15" hidden="false" customHeight="false" outlineLevel="0" collapsed="false">
      <c r="A785" s="6" t="str">
        <f aca="false">IF('DATA UNIT'!$B41="","",'DATA UNIT'!$B41)</f>
        <v>B 2547 UOU</v>
      </c>
      <c r="B785" s="6" t="str">
        <f aca="false">IF($A785="","",INDEX(PlanningItemsList,4))</f>
        <v>Brake Pad</v>
      </c>
      <c r="C785" s="7"/>
      <c r="D785" s="7"/>
    </row>
    <row r="786" customFormat="false" ht="15" hidden="false" customHeight="false" outlineLevel="0" collapsed="false">
      <c r="A786" s="6" t="str">
        <f aca="false">IF('DATA UNIT'!$B41="","",'DATA UNIT'!$B41)</f>
        <v>B 2547 UOU</v>
      </c>
      <c r="B786" s="6" t="str">
        <f aca="false">IF($A786="","",INDEX(PlanningItemsList,5))</f>
        <v>Brake Shoe</v>
      </c>
      <c r="C786" s="7"/>
      <c r="D786" s="7"/>
    </row>
    <row r="787" customFormat="false" ht="15" hidden="false" customHeight="false" outlineLevel="0" collapsed="false">
      <c r="A787" s="6" t="str">
        <f aca="false">IF('DATA UNIT'!$B41="","",'DATA UNIT'!$B41)</f>
        <v>B 2547 UOU</v>
      </c>
      <c r="B787" s="6" t="str">
        <f aca="false">IF($A787="","",INDEX(PlanningItemsList,6))</f>
        <v>Accu</v>
      </c>
      <c r="C787" s="7"/>
      <c r="D787" s="7"/>
    </row>
    <row r="788" customFormat="false" ht="15" hidden="false" customHeight="false" outlineLevel="0" collapsed="false">
      <c r="A788" s="6" t="str">
        <f aca="false">IF('DATA UNIT'!$B41="","",'DATA UNIT'!$B41)</f>
        <v>B 2547 UOU</v>
      </c>
      <c r="B788" s="6" t="str">
        <f aca="false">IF($A788="","",INDEX(PlanningItemsList,7))</f>
        <v>Kampas Kopling Set</v>
      </c>
      <c r="C788" s="7"/>
      <c r="D788" s="7"/>
    </row>
    <row r="789" customFormat="false" ht="15" hidden="false" customHeight="false" outlineLevel="0" collapsed="false">
      <c r="A789" s="6" t="str">
        <f aca="false">IF('DATA UNIT'!$B41="","",'DATA UNIT'!$B41)</f>
        <v>B 2547 UOU</v>
      </c>
      <c r="B789" s="6" t="str">
        <f aca="false">IF($A789="","",INDEX(PlanningItemsList,8))</f>
        <v>Wiper Blade</v>
      </c>
      <c r="C789" s="7"/>
      <c r="D789" s="7"/>
    </row>
    <row r="790" customFormat="false" ht="15" hidden="false" customHeight="false" outlineLevel="0" collapsed="false">
      <c r="A790" s="6" t="str">
        <f aca="false">IF('DATA UNIT'!$B41="","",'DATA UNIT'!$B41)</f>
        <v>B 2547 UOU</v>
      </c>
      <c r="B790" s="6" t="str">
        <f aca="false">IF($A790="","",INDEX(PlanningItemsList,9))</f>
        <v>Ban Depan</v>
      </c>
      <c r="C790" s="7"/>
      <c r="D790" s="7"/>
    </row>
    <row r="791" customFormat="false" ht="15" hidden="false" customHeight="false" outlineLevel="0" collapsed="false">
      <c r="A791" s="6" t="str">
        <f aca="false">IF('DATA UNIT'!$B41="","",'DATA UNIT'!$B41)</f>
        <v>B 2547 UOU</v>
      </c>
      <c r="B791" s="6" t="str">
        <f aca="false">IF($A791="","",INDEX(PlanningItemsList,10))</f>
        <v>Ban Belakang</v>
      </c>
      <c r="C791" s="7"/>
      <c r="D791" s="7"/>
    </row>
    <row r="792" customFormat="false" ht="15" hidden="false" customHeight="false" outlineLevel="0" collapsed="false">
      <c r="A792" s="6" t="str">
        <f aca="false">IF('DATA UNIT'!$B41="","",'DATA UNIT'!$B41)</f>
        <v>B 2547 UOU</v>
      </c>
      <c r="B792" s="6" t="str">
        <f aca="false">IF($A792="","",INDEX(PlanningItemsList,11))</f>
        <v>Ban Serep</v>
      </c>
      <c r="C792" s="7"/>
      <c r="D792" s="7"/>
    </row>
    <row r="793" customFormat="false" ht="15" hidden="false" customHeight="false" outlineLevel="0" collapsed="false">
      <c r="A793" s="6" t="str">
        <f aca="false">IF('DATA UNIT'!$B41="","",'DATA UNIT'!$B41)</f>
        <v>B 2547 UOU</v>
      </c>
      <c r="B793" s="6" t="str">
        <f aca="false">IF($A793="","",INDEX(PlanningItemsList,12))</f>
        <v>Greasing</v>
      </c>
      <c r="C793" s="7"/>
      <c r="D793" s="7"/>
    </row>
    <row r="794" customFormat="false" ht="15" hidden="false" customHeight="false" outlineLevel="0" collapsed="false">
      <c r="A794" s="6" t="str">
        <f aca="false">IF('DATA UNIT'!$B41="","",'DATA UNIT'!$B41)</f>
        <v>B 2547 UOU</v>
      </c>
      <c r="B794" s="6" t="str">
        <f aca="false">IF($A794="","",INDEX(PlanningItemsList,13))</f>
        <v>V-Belt</v>
      </c>
      <c r="C794" s="7"/>
      <c r="D794" s="7"/>
    </row>
    <row r="795" customFormat="false" ht="15" hidden="false" customHeight="false" outlineLevel="0" collapsed="false">
      <c r="A795" s="6" t="str">
        <f aca="false">IF('DATA UNIT'!$B41="","",'DATA UNIT'!$B41)</f>
        <v>B 2547 UOU</v>
      </c>
      <c r="B795" s="6" t="str">
        <f aca="false">IF($A795="","",INDEX(PlanningItemsList,14))</f>
        <v>Sarung Jok</v>
      </c>
      <c r="C795" s="7"/>
      <c r="D795" s="7"/>
    </row>
    <row r="796" customFormat="false" ht="15" hidden="false" customHeight="false" outlineLevel="0" collapsed="false">
      <c r="A796" s="6" t="str">
        <f aca="false">IF('DATA UNIT'!$B41="","",'DATA UNIT'!$B41)</f>
        <v>B 2547 UOU</v>
      </c>
      <c r="B796" s="6" t="str">
        <f aca="false">IF($A796="","",INDEX(PlanningItemsList,15))</f>
        <v>Karpet Karet</v>
      </c>
      <c r="C796" s="7"/>
      <c r="D796" s="7"/>
    </row>
    <row r="797" customFormat="false" ht="15" hidden="false" customHeight="false" outlineLevel="0" collapsed="false">
      <c r="A797" s="6" t="str">
        <f aca="false">IF('DATA UNIT'!$B41="","",'DATA UNIT'!$B41)</f>
        <v>B 2547 UOU</v>
      </c>
      <c r="B797" s="6" t="str">
        <f aca="false">IF($A797="","",INDEX(PlanningItemsList,16))</f>
        <v>Karpet Dasar</v>
      </c>
      <c r="C797" s="7"/>
      <c r="D797" s="7"/>
    </row>
    <row r="798" customFormat="false" ht="15" hidden="false" customHeight="false" outlineLevel="0" collapsed="false">
      <c r="A798" s="6" t="str">
        <f aca="false">IF('DATA UNIT'!$B41="","",'DATA UNIT'!$B41)</f>
        <v>B 2547 UOU</v>
      </c>
      <c r="B798" s="6" t="str">
        <f aca="false">IF($A798="","",INDEX(PlanningItemsList,17))</f>
        <v>Flushing Radiator</v>
      </c>
      <c r="C798" s="7"/>
      <c r="D798" s="7"/>
    </row>
    <row r="799" customFormat="false" ht="15" hidden="false" customHeight="false" outlineLevel="0" collapsed="false">
      <c r="A799" s="6" t="str">
        <f aca="false">IF('DATA UNIT'!$B41="","",'DATA UNIT'!$B41)</f>
        <v>B 2547 UOU</v>
      </c>
      <c r="B799" s="6" t="str">
        <f aca="false">IF($A799="","",INDEX(PlanningItemsList,18))</f>
        <v>Flushing Steering</v>
      </c>
      <c r="C799" s="7"/>
      <c r="D799" s="7"/>
    </row>
    <row r="800" customFormat="false" ht="15" hidden="false" customHeight="false" outlineLevel="0" collapsed="false">
      <c r="A800" s="6" t="str">
        <f aca="false">IF('DATA UNIT'!$B41="","",'DATA UNIT'!$B41)</f>
        <v>B 2547 UOU</v>
      </c>
      <c r="B800" s="6" t="str">
        <f aca="false">IF($A800="","",INDEX(PlanningItemsList,19))</f>
        <v>Flushing Injector</v>
      </c>
      <c r="C800" s="7"/>
      <c r="D800" s="7"/>
    </row>
    <row r="801" customFormat="false" ht="15" hidden="false" customHeight="false" outlineLevel="0" collapsed="false">
      <c r="A801" s="6" t="str">
        <f aca="false">IF('DATA UNIT'!$B41="","",'DATA UNIT'!$B41)</f>
        <v>B 2547 UOU</v>
      </c>
      <c r="B801" s="6" t="str">
        <f aca="false">IF($A801="","",INDEX(PlanningItemsList,20))</f>
        <v>Flushing Rem</v>
      </c>
      <c r="C801" s="7"/>
      <c r="D801" s="7"/>
    </row>
    <row r="802" customFormat="false" ht="15" hidden="false" customHeight="false" outlineLevel="0" collapsed="false">
      <c r="A802" s="6" t="str">
        <f aca="false">IF('DATA UNIT'!$B42="","",'DATA UNIT'!$B42)</f>
        <v/>
      </c>
      <c r="B802" s="6" t="str">
        <f aca="false">IF($A802="","",INDEX(PlanningItemsList,1))</f>
        <v/>
      </c>
      <c r="C802" s="7"/>
      <c r="D802" s="7"/>
    </row>
    <row r="803" customFormat="false" ht="15" hidden="false" customHeight="false" outlineLevel="0" collapsed="false">
      <c r="A803" s="6" t="str">
        <f aca="false">IF('DATA UNIT'!$B42="","",'DATA UNIT'!$B42)</f>
        <v/>
      </c>
      <c r="B803" s="6" t="str">
        <f aca="false">IF($A803="","",INDEX(PlanningItemsList,2))</f>
        <v/>
      </c>
      <c r="C803" s="7"/>
      <c r="D803" s="7"/>
    </row>
    <row r="804" customFormat="false" ht="15" hidden="false" customHeight="false" outlineLevel="0" collapsed="false">
      <c r="A804" s="6" t="str">
        <f aca="false">IF('DATA UNIT'!$B42="","",'DATA UNIT'!$B42)</f>
        <v/>
      </c>
      <c r="B804" s="6" t="str">
        <f aca="false">IF($A804="","",INDEX(PlanningItemsList,3))</f>
        <v/>
      </c>
      <c r="C804" s="7"/>
      <c r="D804" s="7"/>
    </row>
    <row r="805" customFormat="false" ht="15" hidden="false" customHeight="false" outlineLevel="0" collapsed="false">
      <c r="A805" s="6" t="str">
        <f aca="false">IF('DATA UNIT'!$B42="","",'DATA UNIT'!$B42)</f>
        <v/>
      </c>
      <c r="B805" s="6" t="str">
        <f aca="false">IF($A805="","",INDEX(PlanningItemsList,4))</f>
        <v/>
      </c>
      <c r="C805" s="7"/>
      <c r="D805" s="7"/>
    </row>
    <row r="806" customFormat="false" ht="15" hidden="false" customHeight="false" outlineLevel="0" collapsed="false">
      <c r="A806" s="6" t="str">
        <f aca="false">IF('DATA UNIT'!$B42="","",'DATA UNIT'!$B42)</f>
        <v/>
      </c>
      <c r="B806" s="6" t="str">
        <f aca="false">IF($A806="","",INDEX(PlanningItemsList,5))</f>
        <v/>
      </c>
      <c r="C806" s="7"/>
      <c r="D806" s="7"/>
    </row>
    <row r="807" customFormat="false" ht="15" hidden="false" customHeight="false" outlineLevel="0" collapsed="false">
      <c r="A807" s="6" t="str">
        <f aca="false">IF('DATA UNIT'!$B42="","",'DATA UNIT'!$B42)</f>
        <v/>
      </c>
      <c r="B807" s="6" t="str">
        <f aca="false">IF($A807="","",INDEX(PlanningItemsList,6))</f>
        <v/>
      </c>
      <c r="C807" s="7"/>
      <c r="D807" s="7"/>
    </row>
    <row r="808" customFormat="false" ht="15" hidden="false" customHeight="false" outlineLevel="0" collapsed="false">
      <c r="A808" s="6" t="str">
        <f aca="false">IF('DATA UNIT'!$B42="","",'DATA UNIT'!$B42)</f>
        <v/>
      </c>
      <c r="B808" s="6" t="str">
        <f aca="false">IF($A808="","",INDEX(PlanningItemsList,7))</f>
        <v/>
      </c>
      <c r="C808" s="7"/>
      <c r="D808" s="7"/>
    </row>
    <row r="809" customFormat="false" ht="15" hidden="false" customHeight="false" outlineLevel="0" collapsed="false">
      <c r="A809" s="6" t="str">
        <f aca="false">IF('DATA UNIT'!$B42="","",'DATA UNIT'!$B42)</f>
        <v/>
      </c>
      <c r="B809" s="6" t="str">
        <f aca="false">IF($A809="","",INDEX(PlanningItemsList,8))</f>
        <v/>
      </c>
      <c r="C809" s="7"/>
      <c r="D809" s="7"/>
    </row>
    <row r="810" customFormat="false" ht="15" hidden="false" customHeight="false" outlineLevel="0" collapsed="false">
      <c r="A810" s="6" t="str">
        <f aca="false">IF('DATA UNIT'!$B42="","",'DATA UNIT'!$B42)</f>
        <v/>
      </c>
      <c r="B810" s="6" t="str">
        <f aca="false">IF($A810="","",INDEX(PlanningItemsList,9))</f>
        <v/>
      </c>
      <c r="C810" s="7"/>
      <c r="D810" s="7"/>
    </row>
    <row r="811" customFormat="false" ht="15" hidden="false" customHeight="false" outlineLevel="0" collapsed="false">
      <c r="A811" s="6" t="str">
        <f aca="false">IF('DATA UNIT'!$B42="","",'DATA UNIT'!$B42)</f>
        <v/>
      </c>
      <c r="B811" s="6" t="str">
        <f aca="false">IF($A811="","",INDEX(PlanningItemsList,10))</f>
        <v/>
      </c>
      <c r="C811" s="7"/>
      <c r="D811" s="7"/>
    </row>
    <row r="812" customFormat="false" ht="15" hidden="false" customHeight="false" outlineLevel="0" collapsed="false">
      <c r="A812" s="6" t="str">
        <f aca="false">IF('DATA UNIT'!$B42="","",'DATA UNIT'!$B42)</f>
        <v/>
      </c>
      <c r="B812" s="6" t="str">
        <f aca="false">IF($A812="","",INDEX(PlanningItemsList,11))</f>
        <v/>
      </c>
      <c r="C812" s="7"/>
      <c r="D812" s="7"/>
    </row>
    <row r="813" customFormat="false" ht="15" hidden="false" customHeight="false" outlineLevel="0" collapsed="false">
      <c r="A813" s="6" t="str">
        <f aca="false">IF('DATA UNIT'!$B42="","",'DATA UNIT'!$B42)</f>
        <v/>
      </c>
      <c r="B813" s="6" t="str">
        <f aca="false">IF($A813="","",INDEX(PlanningItemsList,12))</f>
        <v/>
      </c>
      <c r="C813" s="7"/>
      <c r="D813" s="7"/>
    </row>
    <row r="814" customFormat="false" ht="15" hidden="false" customHeight="false" outlineLevel="0" collapsed="false">
      <c r="A814" s="6" t="str">
        <f aca="false">IF('DATA UNIT'!$B42="","",'DATA UNIT'!$B42)</f>
        <v/>
      </c>
      <c r="B814" s="6" t="str">
        <f aca="false">IF($A814="","",INDEX(PlanningItemsList,13))</f>
        <v/>
      </c>
      <c r="C814" s="7"/>
      <c r="D814" s="7"/>
    </row>
    <row r="815" customFormat="false" ht="15" hidden="false" customHeight="false" outlineLevel="0" collapsed="false">
      <c r="A815" s="6" t="str">
        <f aca="false">IF('DATA UNIT'!$B42="","",'DATA UNIT'!$B42)</f>
        <v/>
      </c>
      <c r="B815" s="6" t="str">
        <f aca="false">IF($A815="","",INDEX(PlanningItemsList,14))</f>
        <v/>
      </c>
      <c r="C815" s="7"/>
      <c r="D815" s="7"/>
    </row>
    <row r="816" customFormat="false" ht="15" hidden="false" customHeight="false" outlineLevel="0" collapsed="false">
      <c r="A816" s="6" t="str">
        <f aca="false">IF('DATA UNIT'!$B42="","",'DATA UNIT'!$B42)</f>
        <v/>
      </c>
      <c r="B816" s="6" t="str">
        <f aca="false">IF($A816="","",INDEX(PlanningItemsList,15))</f>
        <v/>
      </c>
      <c r="C816" s="7"/>
      <c r="D816" s="7"/>
    </row>
    <row r="817" customFormat="false" ht="15" hidden="false" customHeight="false" outlineLevel="0" collapsed="false">
      <c r="A817" s="6" t="str">
        <f aca="false">IF('DATA UNIT'!$B42="","",'DATA UNIT'!$B42)</f>
        <v/>
      </c>
      <c r="B817" s="6" t="str">
        <f aca="false">IF($A817="","",INDEX(PlanningItemsList,16))</f>
        <v/>
      </c>
      <c r="C817" s="7"/>
      <c r="D817" s="7"/>
    </row>
    <row r="818" customFormat="false" ht="15" hidden="false" customHeight="false" outlineLevel="0" collapsed="false">
      <c r="A818" s="6" t="str">
        <f aca="false">IF('DATA UNIT'!$B42="","",'DATA UNIT'!$B42)</f>
        <v/>
      </c>
      <c r="B818" s="6" t="str">
        <f aca="false">IF($A818="","",INDEX(PlanningItemsList,17))</f>
        <v/>
      </c>
      <c r="C818" s="7"/>
      <c r="D818" s="7"/>
    </row>
    <row r="819" customFormat="false" ht="15" hidden="false" customHeight="false" outlineLevel="0" collapsed="false">
      <c r="A819" s="6" t="str">
        <f aca="false">IF('DATA UNIT'!$B42="","",'DATA UNIT'!$B42)</f>
        <v/>
      </c>
      <c r="B819" s="6" t="str">
        <f aca="false">IF($A819="","",INDEX(PlanningItemsList,18))</f>
        <v/>
      </c>
      <c r="C819" s="7"/>
      <c r="D819" s="7"/>
    </row>
    <row r="820" customFormat="false" ht="15" hidden="false" customHeight="false" outlineLevel="0" collapsed="false">
      <c r="A820" s="6" t="str">
        <f aca="false">IF('DATA UNIT'!$B42="","",'DATA UNIT'!$B42)</f>
        <v/>
      </c>
      <c r="B820" s="6" t="str">
        <f aca="false">IF($A820="","",INDEX(PlanningItemsList,19))</f>
        <v/>
      </c>
      <c r="C820" s="7"/>
      <c r="D820" s="7"/>
    </row>
    <row r="821" customFormat="false" ht="15" hidden="false" customHeight="false" outlineLevel="0" collapsed="false">
      <c r="A821" s="6" t="str">
        <f aca="false">IF('DATA UNIT'!$B42="","",'DATA UNIT'!$B42)</f>
        <v/>
      </c>
      <c r="B821" s="6" t="str">
        <f aca="false">IF($A821="","",INDEX(PlanningItemsList,20))</f>
        <v/>
      </c>
      <c r="C821" s="7"/>
      <c r="D821" s="7"/>
    </row>
    <row r="822" customFormat="false" ht="15" hidden="false" customHeight="false" outlineLevel="0" collapsed="false">
      <c r="A822" s="6" t="str">
        <f aca="false">IF('DATA UNIT'!$B43="","",'DATA UNIT'!$B43)</f>
        <v/>
      </c>
      <c r="B822" s="6" t="str">
        <f aca="false">IF($A822="","",INDEX(PlanningItemsList,1))</f>
        <v/>
      </c>
      <c r="C822" s="7"/>
      <c r="D822" s="7"/>
    </row>
    <row r="823" customFormat="false" ht="15" hidden="false" customHeight="false" outlineLevel="0" collapsed="false">
      <c r="A823" s="6" t="str">
        <f aca="false">IF('DATA UNIT'!$B43="","",'DATA UNIT'!$B43)</f>
        <v/>
      </c>
      <c r="B823" s="6" t="str">
        <f aca="false">IF($A823="","",INDEX(PlanningItemsList,2))</f>
        <v/>
      </c>
      <c r="C823" s="7"/>
      <c r="D823" s="7"/>
    </row>
    <row r="824" customFormat="false" ht="15" hidden="false" customHeight="false" outlineLevel="0" collapsed="false">
      <c r="A824" s="6" t="str">
        <f aca="false">IF('DATA UNIT'!$B43="","",'DATA UNIT'!$B43)</f>
        <v/>
      </c>
      <c r="B824" s="6" t="str">
        <f aca="false">IF($A824="","",INDEX(PlanningItemsList,3))</f>
        <v/>
      </c>
      <c r="C824" s="7"/>
      <c r="D824" s="7"/>
    </row>
    <row r="825" customFormat="false" ht="15" hidden="false" customHeight="false" outlineLevel="0" collapsed="false">
      <c r="A825" s="6" t="str">
        <f aca="false">IF('DATA UNIT'!$B43="","",'DATA UNIT'!$B43)</f>
        <v/>
      </c>
      <c r="B825" s="6" t="str">
        <f aca="false">IF($A825="","",INDEX(PlanningItemsList,4))</f>
        <v/>
      </c>
      <c r="C825" s="7"/>
      <c r="D825" s="7"/>
    </row>
    <row r="826" customFormat="false" ht="15" hidden="false" customHeight="false" outlineLevel="0" collapsed="false">
      <c r="A826" s="6" t="str">
        <f aca="false">IF('DATA UNIT'!$B43="","",'DATA UNIT'!$B43)</f>
        <v/>
      </c>
      <c r="B826" s="6" t="str">
        <f aca="false">IF($A826="","",INDEX(PlanningItemsList,5))</f>
        <v/>
      </c>
      <c r="C826" s="7"/>
      <c r="D826" s="7"/>
    </row>
    <row r="827" customFormat="false" ht="15" hidden="false" customHeight="false" outlineLevel="0" collapsed="false">
      <c r="A827" s="6" t="str">
        <f aca="false">IF('DATA UNIT'!$B43="","",'DATA UNIT'!$B43)</f>
        <v/>
      </c>
      <c r="B827" s="6" t="str">
        <f aca="false">IF($A827="","",INDEX(PlanningItemsList,6))</f>
        <v/>
      </c>
      <c r="C827" s="7"/>
      <c r="D827" s="7"/>
    </row>
    <row r="828" customFormat="false" ht="15" hidden="false" customHeight="false" outlineLevel="0" collapsed="false">
      <c r="A828" s="6" t="str">
        <f aca="false">IF('DATA UNIT'!$B43="","",'DATA UNIT'!$B43)</f>
        <v/>
      </c>
      <c r="B828" s="6" t="str">
        <f aca="false">IF($A828="","",INDEX(PlanningItemsList,7))</f>
        <v/>
      </c>
      <c r="C828" s="7"/>
      <c r="D828" s="7"/>
    </row>
    <row r="829" customFormat="false" ht="15" hidden="false" customHeight="false" outlineLevel="0" collapsed="false">
      <c r="A829" s="6" t="str">
        <f aca="false">IF('DATA UNIT'!$B43="","",'DATA UNIT'!$B43)</f>
        <v/>
      </c>
      <c r="B829" s="6" t="str">
        <f aca="false">IF($A829="","",INDEX(PlanningItemsList,8))</f>
        <v/>
      </c>
      <c r="C829" s="7"/>
      <c r="D829" s="7"/>
    </row>
    <row r="830" customFormat="false" ht="15" hidden="false" customHeight="false" outlineLevel="0" collapsed="false">
      <c r="A830" s="6" t="str">
        <f aca="false">IF('DATA UNIT'!$B43="","",'DATA UNIT'!$B43)</f>
        <v/>
      </c>
      <c r="B830" s="6" t="str">
        <f aca="false">IF($A830="","",INDEX(PlanningItemsList,9))</f>
        <v/>
      </c>
      <c r="C830" s="7"/>
      <c r="D830" s="7"/>
    </row>
    <row r="831" customFormat="false" ht="15" hidden="false" customHeight="false" outlineLevel="0" collapsed="false">
      <c r="A831" s="6" t="str">
        <f aca="false">IF('DATA UNIT'!$B43="","",'DATA UNIT'!$B43)</f>
        <v/>
      </c>
      <c r="B831" s="6" t="str">
        <f aca="false">IF($A831="","",INDEX(PlanningItemsList,10))</f>
        <v/>
      </c>
      <c r="C831" s="7"/>
      <c r="D831" s="7"/>
    </row>
    <row r="832" customFormat="false" ht="15" hidden="false" customHeight="false" outlineLevel="0" collapsed="false">
      <c r="A832" s="6" t="str">
        <f aca="false">IF('DATA UNIT'!$B43="","",'DATA UNIT'!$B43)</f>
        <v/>
      </c>
      <c r="B832" s="6" t="str">
        <f aca="false">IF($A832="","",INDEX(PlanningItemsList,11))</f>
        <v/>
      </c>
      <c r="C832" s="7"/>
      <c r="D832" s="7"/>
    </row>
    <row r="833" customFormat="false" ht="15" hidden="false" customHeight="false" outlineLevel="0" collapsed="false">
      <c r="A833" s="6" t="str">
        <f aca="false">IF('DATA UNIT'!$B43="","",'DATA UNIT'!$B43)</f>
        <v/>
      </c>
      <c r="B833" s="6" t="str">
        <f aca="false">IF($A833="","",INDEX(PlanningItemsList,12))</f>
        <v/>
      </c>
      <c r="C833" s="7"/>
      <c r="D833" s="7"/>
    </row>
    <row r="834" customFormat="false" ht="15" hidden="false" customHeight="false" outlineLevel="0" collapsed="false">
      <c r="A834" s="6" t="str">
        <f aca="false">IF('DATA UNIT'!$B43="","",'DATA UNIT'!$B43)</f>
        <v/>
      </c>
      <c r="B834" s="6" t="str">
        <f aca="false">IF($A834="","",INDEX(PlanningItemsList,13))</f>
        <v/>
      </c>
      <c r="C834" s="7"/>
      <c r="D834" s="7"/>
    </row>
    <row r="835" customFormat="false" ht="15" hidden="false" customHeight="false" outlineLevel="0" collapsed="false">
      <c r="A835" s="6" t="str">
        <f aca="false">IF('DATA UNIT'!$B43="","",'DATA UNIT'!$B43)</f>
        <v/>
      </c>
      <c r="B835" s="6" t="str">
        <f aca="false">IF($A835="","",INDEX(PlanningItemsList,14))</f>
        <v/>
      </c>
      <c r="C835" s="7"/>
      <c r="D835" s="7"/>
    </row>
    <row r="836" customFormat="false" ht="15" hidden="false" customHeight="false" outlineLevel="0" collapsed="false">
      <c r="A836" s="6" t="str">
        <f aca="false">IF('DATA UNIT'!$B43="","",'DATA UNIT'!$B43)</f>
        <v/>
      </c>
      <c r="B836" s="6" t="str">
        <f aca="false">IF($A836="","",INDEX(PlanningItemsList,15))</f>
        <v/>
      </c>
      <c r="C836" s="7"/>
      <c r="D836" s="7"/>
    </row>
    <row r="837" customFormat="false" ht="15" hidden="false" customHeight="false" outlineLevel="0" collapsed="false">
      <c r="A837" s="6" t="str">
        <f aca="false">IF('DATA UNIT'!$B43="","",'DATA UNIT'!$B43)</f>
        <v/>
      </c>
      <c r="B837" s="6" t="str">
        <f aca="false">IF($A837="","",INDEX(PlanningItemsList,16))</f>
        <v/>
      </c>
      <c r="C837" s="7"/>
      <c r="D837" s="7"/>
    </row>
    <row r="838" customFormat="false" ht="15" hidden="false" customHeight="false" outlineLevel="0" collapsed="false">
      <c r="A838" s="6" t="str">
        <f aca="false">IF('DATA UNIT'!$B43="","",'DATA UNIT'!$B43)</f>
        <v/>
      </c>
      <c r="B838" s="6" t="str">
        <f aca="false">IF($A838="","",INDEX(PlanningItemsList,17))</f>
        <v/>
      </c>
      <c r="C838" s="7"/>
      <c r="D838" s="7"/>
    </row>
    <row r="839" customFormat="false" ht="15" hidden="false" customHeight="false" outlineLevel="0" collapsed="false">
      <c r="A839" s="6" t="str">
        <f aca="false">IF('DATA UNIT'!$B43="","",'DATA UNIT'!$B43)</f>
        <v/>
      </c>
      <c r="B839" s="6" t="str">
        <f aca="false">IF($A839="","",INDEX(PlanningItemsList,18))</f>
        <v/>
      </c>
      <c r="C839" s="7"/>
      <c r="D839" s="7"/>
    </row>
    <row r="840" customFormat="false" ht="15" hidden="false" customHeight="false" outlineLevel="0" collapsed="false">
      <c r="A840" s="6" t="str">
        <f aca="false">IF('DATA UNIT'!$B43="","",'DATA UNIT'!$B43)</f>
        <v/>
      </c>
      <c r="B840" s="6" t="str">
        <f aca="false">IF($A840="","",INDEX(PlanningItemsList,19))</f>
        <v/>
      </c>
      <c r="C840" s="7"/>
      <c r="D840" s="7"/>
    </row>
    <row r="841" customFormat="false" ht="15" hidden="false" customHeight="false" outlineLevel="0" collapsed="false">
      <c r="A841" s="6" t="str">
        <f aca="false">IF('DATA UNIT'!$B43="","",'DATA UNIT'!$B43)</f>
        <v/>
      </c>
      <c r="B841" s="6" t="str">
        <f aca="false">IF($A841="","",INDEX(PlanningItemsList,20))</f>
        <v/>
      </c>
      <c r="C841" s="7"/>
      <c r="D841" s="7"/>
    </row>
    <row r="842" customFormat="false" ht="15" hidden="false" customHeight="false" outlineLevel="0" collapsed="false">
      <c r="A842" s="6" t="str">
        <f aca="false">IF('DATA UNIT'!$B44="","",'DATA UNIT'!$B44)</f>
        <v/>
      </c>
      <c r="B842" s="6" t="str">
        <f aca="false">IF($A842="","",INDEX(PlanningItemsList,1))</f>
        <v/>
      </c>
      <c r="C842" s="7"/>
      <c r="D842" s="7"/>
    </row>
    <row r="843" customFormat="false" ht="15" hidden="false" customHeight="false" outlineLevel="0" collapsed="false">
      <c r="A843" s="6" t="str">
        <f aca="false">IF('DATA UNIT'!$B44="","",'DATA UNIT'!$B44)</f>
        <v/>
      </c>
      <c r="B843" s="6" t="str">
        <f aca="false">IF($A843="","",INDEX(PlanningItemsList,2))</f>
        <v/>
      </c>
      <c r="C843" s="7"/>
      <c r="D843" s="7"/>
    </row>
    <row r="844" customFormat="false" ht="15" hidden="false" customHeight="false" outlineLevel="0" collapsed="false">
      <c r="A844" s="6" t="str">
        <f aca="false">IF('DATA UNIT'!$B44="","",'DATA UNIT'!$B44)</f>
        <v/>
      </c>
      <c r="B844" s="6" t="str">
        <f aca="false">IF($A844="","",INDEX(PlanningItemsList,3))</f>
        <v/>
      </c>
      <c r="C844" s="7"/>
      <c r="D844" s="7"/>
    </row>
    <row r="845" customFormat="false" ht="15" hidden="false" customHeight="false" outlineLevel="0" collapsed="false">
      <c r="A845" s="6" t="str">
        <f aca="false">IF('DATA UNIT'!$B44="","",'DATA UNIT'!$B44)</f>
        <v/>
      </c>
      <c r="B845" s="6" t="str">
        <f aca="false">IF($A845="","",INDEX(PlanningItemsList,4))</f>
        <v/>
      </c>
      <c r="C845" s="7"/>
      <c r="D845" s="7"/>
    </row>
    <row r="846" customFormat="false" ht="15" hidden="false" customHeight="false" outlineLevel="0" collapsed="false">
      <c r="A846" s="6" t="str">
        <f aca="false">IF('DATA UNIT'!$B44="","",'DATA UNIT'!$B44)</f>
        <v/>
      </c>
      <c r="B846" s="6" t="str">
        <f aca="false">IF($A846="","",INDEX(PlanningItemsList,5))</f>
        <v/>
      </c>
      <c r="C846" s="7"/>
      <c r="D846" s="7"/>
    </row>
    <row r="847" customFormat="false" ht="15" hidden="false" customHeight="false" outlineLevel="0" collapsed="false">
      <c r="A847" s="6" t="str">
        <f aca="false">IF('DATA UNIT'!$B44="","",'DATA UNIT'!$B44)</f>
        <v/>
      </c>
      <c r="B847" s="6" t="str">
        <f aca="false">IF($A847="","",INDEX(PlanningItemsList,6))</f>
        <v/>
      </c>
      <c r="C847" s="7"/>
      <c r="D847" s="7"/>
    </row>
    <row r="848" customFormat="false" ht="15" hidden="false" customHeight="false" outlineLevel="0" collapsed="false">
      <c r="A848" s="6" t="str">
        <f aca="false">IF('DATA UNIT'!$B44="","",'DATA UNIT'!$B44)</f>
        <v/>
      </c>
      <c r="B848" s="6" t="str">
        <f aca="false">IF($A848="","",INDEX(PlanningItemsList,7))</f>
        <v/>
      </c>
      <c r="C848" s="7"/>
      <c r="D848" s="7"/>
    </row>
    <row r="849" customFormat="false" ht="15" hidden="false" customHeight="false" outlineLevel="0" collapsed="false">
      <c r="A849" s="6" t="str">
        <f aca="false">IF('DATA UNIT'!$B44="","",'DATA UNIT'!$B44)</f>
        <v/>
      </c>
      <c r="B849" s="6" t="str">
        <f aca="false">IF($A849="","",INDEX(PlanningItemsList,8))</f>
        <v/>
      </c>
      <c r="C849" s="7"/>
      <c r="D849" s="7"/>
    </row>
    <row r="850" customFormat="false" ht="15" hidden="false" customHeight="false" outlineLevel="0" collapsed="false">
      <c r="A850" s="6" t="str">
        <f aca="false">IF('DATA UNIT'!$B44="","",'DATA UNIT'!$B44)</f>
        <v/>
      </c>
      <c r="B850" s="6" t="str">
        <f aca="false">IF($A850="","",INDEX(PlanningItemsList,9))</f>
        <v/>
      </c>
      <c r="C850" s="7"/>
      <c r="D850" s="7"/>
    </row>
    <row r="851" customFormat="false" ht="15" hidden="false" customHeight="false" outlineLevel="0" collapsed="false">
      <c r="A851" s="6" t="str">
        <f aca="false">IF('DATA UNIT'!$B44="","",'DATA UNIT'!$B44)</f>
        <v/>
      </c>
      <c r="B851" s="6" t="str">
        <f aca="false">IF($A851="","",INDEX(PlanningItemsList,10))</f>
        <v/>
      </c>
      <c r="C851" s="7"/>
      <c r="D851" s="7"/>
    </row>
    <row r="852" customFormat="false" ht="15" hidden="false" customHeight="false" outlineLevel="0" collapsed="false">
      <c r="A852" s="6" t="str">
        <f aca="false">IF('DATA UNIT'!$B44="","",'DATA UNIT'!$B44)</f>
        <v/>
      </c>
      <c r="B852" s="6" t="str">
        <f aca="false">IF($A852="","",INDEX(PlanningItemsList,11))</f>
        <v/>
      </c>
      <c r="C852" s="7"/>
      <c r="D852" s="7"/>
    </row>
    <row r="853" customFormat="false" ht="15" hidden="false" customHeight="false" outlineLevel="0" collapsed="false">
      <c r="A853" s="6" t="str">
        <f aca="false">IF('DATA UNIT'!$B44="","",'DATA UNIT'!$B44)</f>
        <v/>
      </c>
      <c r="B853" s="6" t="str">
        <f aca="false">IF($A853="","",INDEX(PlanningItemsList,12))</f>
        <v/>
      </c>
      <c r="C853" s="7"/>
      <c r="D853" s="7"/>
    </row>
    <row r="854" customFormat="false" ht="15" hidden="false" customHeight="false" outlineLevel="0" collapsed="false">
      <c r="A854" s="6" t="str">
        <f aca="false">IF('DATA UNIT'!$B44="","",'DATA UNIT'!$B44)</f>
        <v/>
      </c>
      <c r="B854" s="6" t="str">
        <f aca="false">IF($A854="","",INDEX(PlanningItemsList,13))</f>
        <v/>
      </c>
      <c r="C854" s="7"/>
      <c r="D854" s="7"/>
    </row>
    <row r="855" customFormat="false" ht="15" hidden="false" customHeight="false" outlineLevel="0" collapsed="false">
      <c r="A855" s="6" t="str">
        <f aca="false">IF('DATA UNIT'!$B44="","",'DATA UNIT'!$B44)</f>
        <v/>
      </c>
      <c r="B855" s="6" t="str">
        <f aca="false">IF($A855="","",INDEX(PlanningItemsList,14))</f>
        <v/>
      </c>
      <c r="C855" s="7"/>
      <c r="D855" s="7"/>
    </row>
    <row r="856" customFormat="false" ht="15" hidden="false" customHeight="false" outlineLevel="0" collapsed="false">
      <c r="A856" s="6" t="str">
        <f aca="false">IF('DATA UNIT'!$B44="","",'DATA UNIT'!$B44)</f>
        <v/>
      </c>
      <c r="B856" s="6" t="str">
        <f aca="false">IF($A856="","",INDEX(PlanningItemsList,15))</f>
        <v/>
      </c>
      <c r="C856" s="7"/>
      <c r="D856" s="7"/>
    </row>
    <row r="857" customFormat="false" ht="15" hidden="false" customHeight="false" outlineLevel="0" collapsed="false">
      <c r="A857" s="6" t="str">
        <f aca="false">IF('DATA UNIT'!$B44="","",'DATA UNIT'!$B44)</f>
        <v/>
      </c>
      <c r="B857" s="6" t="str">
        <f aca="false">IF($A857="","",INDEX(PlanningItemsList,16))</f>
        <v/>
      </c>
      <c r="C857" s="7"/>
      <c r="D857" s="7"/>
    </row>
    <row r="858" customFormat="false" ht="15" hidden="false" customHeight="false" outlineLevel="0" collapsed="false">
      <c r="A858" s="6" t="str">
        <f aca="false">IF('DATA UNIT'!$B44="","",'DATA UNIT'!$B44)</f>
        <v/>
      </c>
      <c r="B858" s="6" t="str">
        <f aca="false">IF($A858="","",INDEX(PlanningItemsList,17))</f>
        <v/>
      </c>
      <c r="C858" s="7"/>
      <c r="D858" s="7"/>
    </row>
    <row r="859" customFormat="false" ht="15" hidden="false" customHeight="false" outlineLevel="0" collapsed="false">
      <c r="A859" s="6" t="str">
        <f aca="false">IF('DATA UNIT'!$B44="","",'DATA UNIT'!$B44)</f>
        <v/>
      </c>
      <c r="B859" s="6" t="str">
        <f aca="false">IF($A859="","",INDEX(PlanningItemsList,18))</f>
        <v/>
      </c>
      <c r="C859" s="7"/>
      <c r="D859" s="7"/>
    </row>
    <row r="860" customFormat="false" ht="15" hidden="false" customHeight="false" outlineLevel="0" collapsed="false">
      <c r="A860" s="6" t="str">
        <f aca="false">IF('DATA UNIT'!$B44="","",'DATA UNIT'!$B44)</f>
        <v/>
      </c>
      <c r="B860" s="6" t="str">
        <f aca="false">IF($A860="","",INDEX(PlanningItemsList,19))</f>
        <v/>
      </c>
      <c r="C860" s="7"/>
      <c r="D860" s="7"/>
    </row>
    <row r="861" customFormat="false" ht="15" hidden="false" customHeight="false" outlineLevel="0" collapsed="false">
      <c r="A861" s="6" t="str">
        <f aca="false">IF('DATA UNIT'!$B44="","",'DATA UNIT'!$B44)</f>
        <v/>
      </c>
      <c r="B861" s="6" t="str">
        <f aca="false">IF($A861="","",INDEX(PlanningItemsList,20))</f>
        <v/>
      </c>
      <c r="C861" s="7"/>
      <c r="D861" s="7"/>
    </row>
    <row r="862" customFormat="false" ht="15" hidden="false" customHeight="false" outlineLevel="0" collapsed="false">
      <c r="A862" s="6" t="str">
        <f aca="false">IF('DATA UNIT'!$B45="","",'DATA UNIT'!$B45)</f>
        <v/>
      </c>
      <c r="B862" s="6" t="str">
        <f aca="false">IF($A862="","",INDEX(PlanningItemsList,1))</f>
        <v/>
      </c>
      <c r="C862" s="7"/>
      <c r="D862" s="7"/>
    </row>
    <row r="863" customFormat="false" ht="15" hidden="false" customHeight="false" outlineLevel="0" collapsed="false">
      <c r="A863" s="6" t="str">
        <f aca="false">IF('DATA UNIT'!$B45="","",'DATA UNIT'!$B45)</f>
        <v/>
      </c>
      <c r="B863" s="6" t="str">
        <f aca="false">IF($A863="","",INDEX(PlanningItemsList,2))</f>
        <v/>
      </c>
      <c r="C863" s="7"/>
      <c r="D863" s="7"/>
    </row>
    <row r="864" customFormat="false" ht="15" hidden="false" customHeight="false" outlineLevel="0" collapsed="false">
      <c r="A864" s="6" t="str">
        <f aca="false">IF('DATA UNIT'!$B45="","",'DATA UNIT'!$B45)</f>
        <v/>
      </c>
      <c r="B864" s="6" t="str">
        <f aca="false">IF($A864="","",INDEX(PlanningItemsList,3))</f>
        <v/>
      </c>
      <c r="C864" s="7"/>
      <c r="D864" s="7"/>
    </row>
    <row r="865" customFormat="false" ht="15" hidden="false" customHeight="false" outlineLevel="0" collapsed="false">
      <c r="A865" s="6" t="str">
        <f aca="false">IF('DATA UNIT'!$B45="","",'DATA UNIT'!$B45)</f>
        <v/>
      </c>
      <c r="B865" s="6" t="str">
        <f aca="false">IF($A865="","",INDEX(PlanningItemsList,4))</f>
        <v/>
      </c>
      <c r="C865" s="7"/>
      <c r="D865" s="7"/>
    </row>
    <row r="866" customFormat="false" ht="15" hidden="false" customHeight="false" outlineLevel="0" collapsed="false">
      <c r="A866" s="6" t="str">
        <f aca="false">IF('DATA UNIT'!$B45="","",'DATA UNIT'!$B45)</f>
        <v/>
      </c>
      <c r="B866" s="6" t="str">
        <f aca="false">IF($A866="","",INDEX(PlanningItemsList,5))</f>
        <v/>
      </c>
      <c r="C866" s="7"/>
      <c r="D866" s="7"/>
    </row>
    <row r="867" customFormat="false" ht="15" hidden="false" customHeight="false" outlineLevel="0" collapsed="false">
      <c r="A867" s="6" t="str">
        <f aca="false">IF('DATA UNIT'!$B45="","",'DATA UNIT'!$B45)</f>
        <v/>
      </c>
      <c r="B867" s="6" t="str">
        <f aca="false">IF($A867="","",INDEX(PlanningItemsList,6))</f>
        <v/>
      </c>
      <c r="C867" s="7"/>
      <c r="D867" s="7"/>
    </row>
    <row r="868" customFormat="false" ht="15" hidden="false" customHeight="false" outlineLevel="0" collapsed="false">
      <c r="A868" s="6" t="str">
        <f aca="false">IF('DATA UNIT'!$B45="","",'DATA UNIT'!$B45)</f>
        <v/>
      </c>
      <c r="B868" s="6" t="str">
        <f aca="false">IF($A868="","",INDEX(PlanningItemsList,7))</f>
        <v/>
      </c>
      <c r="C868" s="7"/>
      <c r="D868" s="7"/>
    </row>
    <row r="869" customFormat="false" ht="15" hidden="false" customHeight="false" outlineLevel="0" collapsed="false">
      <c r="A869" s="6" t="str">
        <f aca="false">IF('DATA UNIT'!$B45="","",'DATA UNIT'!$B45)</f>
        <v/>
      </c>
      <c r="B869" s="6" t="str">
        <f aca="false">IF($A869="","",INDEX(PlanningItemsList,8))</f>
        <v/>
      </c>
      <c r="C869" s="7"/>
      <c r="D869" s="7"/>
    </row>
    <row r="870" customFormat="false" ht="15" hidden="false" customHeight="false" outlineLevel="0" collapsed="false">
      <c r="A870" s="6" t="str">
        <f aca="false">IF('DATA UNIT'!$B45="","",'DATA UNIT'!$B45)</f>
        <v/>
      </c>
      <c r="B870" s="6" t="str">
        <f aca="false">IF($A870="","",INDEX(PlanningItemsList,9))</f>
        <v/>
      </c>
      <c r="C870" s="7"/>
      <c r="D870" s="7"/>
    </row>
    <row r="871" customFormat="false" ht="15" hidden="false" customHeight="false" outlineLevel="0" collapsed="false">
      <c r="A871" s="6" t="str">
        <f aca="false">IF('DATA UNIT'!$B45="","",'DATA UNIT'!$B45)</f>
        <v/>
      </c>
      <c r="B871" s="6" t="str">
        <f aca="false">IF($A871="","",INDEX(PlanningItemsList,10))</f>
        <v/>
      </c>
      <c r="C871" s="7"/>
      <c r="D871" s="7"/>
    </row>
    <row r="872" customFormat="false" ht="15" hidden="false" customHeight="false" outlineLevel="0" collapsed="false">
      <c r="A872" s="6" t="str">
        <f aca="false">IF('DATA UNIT'!$B45="","",'DATA UNIT'!$B45)</f>
        <v/>
      </c>
      <c r="B872" s="6" t="str">
        <f aca="false">IF($A872="","",INDEX(PlanningItemsList,11))</f>
        <v/>
      </c>
      <c r="C872" s="7"/>
      <c r="D872" s="7"/>
    </row>
    <row r="873" customFormat="false" ht="15" hidden="false" customHeight="false" outlineLevel="0" collapsed="false">
      <c r="A873" s="6" t="str">
        <f aca="false">IF('DATA UNIT'!$B45="","",'DATA UNIT'!$B45)</f>
        <v/>
      </c>
      <c r="B873" s="6" t="str">
        <f aca="false">IF($A873="","",INDEX(PlanningItemsList,12))</f>
        <v/>
      </c>
      <c r="C873" s="7"/>
      <c r="D873" s="7"/>
    </row>
    <row r="874" customFormat="false" ht="15" hidden="false" customHeight="false" outlineLevel="0" collapsed="false">
      <c r="A874" s="6" t="str">
        <f aca="false">IF('DATA UNIT'!$B45="","",'DATA UNIT'!$B45)</f>
        <v/>
      </c>
      <c r="B874" s="6" t="str">
        <f aca="false">IF($A874="","",INDEX(PlanningItemsList,13))</f>
        <v/>
      </c>
      <c r="C874" s="7"/>
      <c r="D874" s="7"/>
    </row>
    <row r="875" customFormat="false" ht="15" hidden="false" customHeight="false" outlineLevel="0" collapsed="false">
      <c r="A875" s="6" t="str">
        <f aca="false">IF('DATA UNIT'!$B45="","",'DATA UNIT'!$B45)</f>
        <v/>
      </c>
      <c r="B875" s="6" t="str">
        <f aca="false">IF($A875="","",INDEX(PlanningItemsList,14))</f>
        <v/>
      </c>
      <c r="C875" s="7"/>
      <c r="D875" s="7"/>
    </row>
    <row r="876" customFormat="false" ht="15" hidden="false" customHeight="false" outlineLevel="0" collapsed="false">
      <c r="A876" s="6" t="str">
        <f aca="false">IF('DATA UNIT'!$B45="","",'DATA UNIT'!$B45)</f>
        <v/>
      </c>
      <c r="B876" s="6" t="str">
        <f aca="false">IF($A876="","",INDEX(PlanningItemsList,15))</f>
        <v/>
      </c>
      <c r="C876" s="7"/>
      <c r="D876" s="7"/>
    </row>
    <row r="877" customFormat="false" ht="15" hidden="false" customHeight="false" outlineLevel="0" collapsed="false">
      <c r="A877" s="6" t="str">
        <f aca="false">IF('DATA UNIT'!$B45="","",'DATA UNIT'!$B45)</f>
        <v/>
      </c>
      <c r="B877" s="6" t="str">
        <f aca="false">IF($A877="","",INDEX(PlanningItemsList,16))</f>
        <v/>
      </c>
      <c r="C877" s="7"/>
      <c r="D877" s="7"/>
    </row>
    <row r="878" customFormat="false" ht="15" hidden="false" customHeight="false" outlineLevel="0" collapsed="false">
      <c r="A878" s="6" t="str">
        <f aca="false">IF('DATA UNIT'!$B45="","",'DATA UNIT'!$B45)</f>
        <v/>
      </c>
      <c r="B878" s="6" t="str">
        <f aca="false">IF($A878="","",INDEX(PlanningItemsList,17))</f>
        <v/>
      </c>
      <c r="C878" s="7"/>
      <c r="D878" s="7"/>
    </row>
    <row r="879" customFormat="false" ht="15" hidden="false" customHeight="false" outlineLevel="0" collapsed="false">
      <c r="A879" s="6" t="str">
        <f aca="false">IF('DATA UNIT'!$B45="","",'DATA UNIT'!$B45)</f>
        <v/>
      </c>
      <c r="B879" s="6" t="str">
        <f aca="false">IF($A879="","",INDEX(PlanningItemsList,18))</f>
        <v/>
      </c>
      <c r="C879" s="7"/>
      <c r="D879" s="7"/>
    </row>
    <row r="880" customFormat="false" ht="15" hidden="false" customHeight="false" outlineLevel="0" collapsed="false">
      <c r="A880" s="6" t="str">
        <f aca="false">IF('DATA UNIT'!$B45="","",'DATA UNIT'!$B45)</f>
        <v/>
      </c>
      <c r="B880" s="6" t="str">
        <f aca="false">IF($A880="","",INDEX(PlanningItemsList,19))</f>
        <v/>
      </c>
      <c r="C880" s="7"/>
      <c r="D880" s="7"/>
    </row>
    <row r="881" customFormat="false" ht="15" hidden="false" customHeight="false" outlineLevel="0" collapsed="false">
      <c r="A881" s="6" t="str">
        <f aca="false">IF('DATA UNIT'!$B45="","",'DATA UNIT'!$B45)</f>
        <v/>
      </c>
      <c r="B881" s="6" t="str">
        <f aca="false">IF($A881="","",INDEX(PlanningItemsList,20))</f>
        <v/>
      </c>
      <c r="C881" s="7"/>
      <c r="D881" s="7"/>
    </row>
    <row r="882" customFormat="false" ht="15" hidden="false" customHeight="false" outlineLevel="0" collapsed="false">
      <c r="A882" s="6" t="str">
        <f aca="false">IF('DATA UNIT'!$B46="","",'DATA UNIT'!$B46)</f>
        <v/>
      </c>
      <c r="B882" s="6" t="str">
        <f aca="false">IF($A882="","",INDEX(PlanningItemsList,1))</f>
        <v/>
      </c>
      <c r="C882" s="7"/>
      <c r="D882" s="7"/>
    </row>
    <row r="883" customFormat="false" ht="15" hidden="false" customHeight="false" outlineLevel="0" collapsed="false">
      <c r="A883" s="6" t="str">
        <f aca="false">IF('DATA UNIT'!$B46="","",'DATA UNIT'!$B46)</f>
        <v/>
      </c>
      <c r="B883" s="6" t="str">
        <f aca="false">IF($A883="","",INDEX(PlanningItemsList,2))</f>
        <v/>
      </c>
      <c r="C883" s="7"/>
      <c r="D883" s="7"/>
    </row>
    <row r="884" customFormat="false" ht="15" hidden="false" customHeight="false" outlineLevel="0" collapsed="false">
      <c r="A884" s="6" t="str">
        <f aca="false">IF('DATA UNIT'!$B46="","",'DATA UNIT'!$B46)</f>
        <v/>
      </c>
      <c r="B884" s="6" t="str">
        <f aca="false">IF($A884="","",INDEX(PlanningItemsList,3))</f>
        <v/>
      </c>
      <c r="C884" s="7"/>
      <c r="D884" s="7"/>
    </row>
    <row r="885" customFormat="false" ht="15" hidden="false" customHeight="false" outlineLevel="0" collapsed="false">
      <c r="A885" s="6" t="str">
        <f aca="false">IF('DATA UNIT'!$B46="","",'DATA UNIT'!$B46)</f>
        <v/>
      </c>
      <c r="B885" s="6" t="str">
        <f aca="false">IF($A885="","",INDEX(PlanningItemsList,4))</f>
        <v/>
      </c>
      <c r="C885" s="7"/>
      <c r="D885" s="7"/>
    </row>
    <row r="886" customFormat="false" ht="15" hidden="false" customHeight="false" outlineLevel="0" collapsed="false">
      <c r="A886" s="6" t="str">
        <f aca="false">IF('DATA UNIT'!$B46="","",'DATA UNIT'!$B46)</f>
        <v/>
      </c>
      <c r="B886" s="6" t="str">
        <f aca="false">IF($A886="","",INDEX(PlanningItemsList,5))</f>
        <v/>
      </c>
      <c r="C886" s="7"/>
      <c r="D886" s="7"/>
    </row>
    <row r="887" customFormat="false" ht="15" hidden="false" customHeight="false" outlineLevel="0" collapsed="false">
      <c r="A887" s="6" t="str">
        <f aca="false">IF('DATA UNIT'!$B46="","",'DATA UNIT'!$B46)</f>
        <v/>
      </c>
      <c r="B887" s="6" t="str">
        <f aca="false">IF($A887="","",INDEX(PlanningItemsList,6))</f>
        <v/>
      </c>
      <c r="C887" s="7"/>
      <c r="D887" s="7"/>
    </row>
    <row r="888" customFormat="false" ht="15" hidden="false" customHeight="false" outlineLevel="0" collapsed="false">
      <c r="A888" s="6" t="str">
        <f aca="false">IF('DATA UNIT'!$B46="","",'DATA UNIT'!$B46)</f>
        <v/>
      </c>
      <c r="B888" s="6" t="str">
        <f aca="false">IF($A888="","",INDEX(PlanningItemsList,7))</f>
        <v/>
      </c>
      <c r="C888" s="7"/>
      <c r="D888" s="7"/>
    </row>
    <row r="889" customFormat="false" ht="15" hidden="false" customHeight="false" outlineLevel="0" collapsed="false">
      <c r="A889" s="6" t="str">
        <f aca="false">IF('DATA UNIT'!$B46="","",'DATA UNIT'!$B46)</f>
        <v/>
      </c>
      <c r="B889" s="6" t="str">
        <f aca="false">IF($A889="","",INDEX(PlanningItemsList,8))</f>
        <v/>
      </c>
      <c r="C889" s="7"/>
      <c r="D889" s="7"/>
    </row>
    <row r="890" customFormat="false" ht="15" hidden="false" customHeight="false" outlineLevel="0" collapsed="false">
      <c r="A890" s="6" t="str">
        <f aca="false">IF('DATA UNIT'!$B46="","",'DATA UNIT'!$B46)</f>
        <v/>
      </c>
      <c r="B890" s="6" t="str">
        <f aca="false">IF($A890="","",INDEX(PlanningItemsList,9))</f>
        <v/>
      </c>
      <c r="C890" s="7"/>
      <c r="D890" s="7"/>
    </row>
    <row r="891" customFormat="false" ht="15" hidden="false" customHeight="false" outlineLevel="0" collapsed="false">
      <c r="A891" s="6" t="str">
        <f aca="false">IF('DATA UNIT'!$B46="","",'DATA UNIT'!$B46)</f>
        <v/>
      </c>
      <c r="B891" s="6" t="str">
        <f aca="false">IF($A891="","",INDEX(PlanningItemsList,10))</f>
        <v/>
      </c>
      <c r="C891" s="7"/>
      <c r="D891" s="7"/>
    </row>
    <row r="892" customFormat="false" ht="15" hidden="false" customHeight="false" outlineLevel="0" collapsed="false">
      <c r="A892" s="6" t="str">
        <f aca="false">IF('DATA UNIT'!$B46="","",'DATA UNIT'!$B46)</f>
        <v/>
      </c>
      <c r="B892" s="6" t="str">
        <f aca="false">IF($A892="","",INDEX(PlanningItemsList,11))</f>
        <v/>
      </c>
      <c r="C892" s="7"/>
      <c r="D892" s="7"/>
    </row>
    <row r="893" customFormat="false" ht="15" hidden="false" customHeight="false" outlineLevel="0" collapsed="false">
      <c r="A893" s="6" t="str">
        <f aca="false">IF('DATA UNIT'!$B46="","",'DATA UNIT'!$B46)</f>
        <v/>
      </c>
      <c r="B893" s="6" t="str">
        <f aca="false">IF($A893="","",INDEX(PlanningItemsList,12))</f>
        <v/>
      </c>
      <c r="C893" s="7"/>
      <c r="D893" s="7"/>
    </row>
    <row r="894" customFormat="false" ht="15" hidden="false" customHeight="false" outlineLevel="0" collapsed="false">
      <c r="A894" s="6" t="str">
        <f aca="false">IF('DATA UNIT'!$B46="","",'DATA UNIT'!$B46)</f>
        <v/>
      </c>
      <c r="B894" s="6" t="str">
        <f aca="false">IF($A894="","",INDEX(PlanningItemsList,13))</f>
        <v/>
      </c>
      <c r="C894" s="7"/>
      <c r="D894" s="7"/>
    </row>
    <row r="895" customFormat="false" ht="15" hidden="false" customHeight="false" outlineLevel="0" collapsed="false">
      <c r="A895" s="6" t="str">
        <f aca="false">IF('DATA UNIT'!$B46="","",'DATA UNIT'!$B46)</f>
        <v/>
      </c>
      <c r="B895" s="6" t="str">
        <f aca="false">IF($A895="","",INDEX(PlanningItemsList,14))</f>
        <v/>
      </c>
      <c r="C895" s="7"/>
      <c r="D895" s="7"/>
    </row>
    <row r="896" customFormat="false" ht="15" hidden="false" customHeight="false" outlineLevel="0" collapsed="false">
      <c r="A896" s="6" t="str">
        <f aca="false">IF('DATA UNIT'!$B46="","",'DATA UNIT'!$B46)</f>
        <v/>
      </c>
      <c r="B896" s="6" t="str">
        <f aca="false">IF($A896="","",INDEX(PlanningItemsList,15))</f>
        <v/>
      </c>
      <c r="C896" s="7"/>
      <c r="D896" s="7"/>
    </row>
    <row r="897" customFormat="false" ht="15" hidden="false" customHeight="false" outlineLevel="0" collapsed="false">
      <c r="A897" s="6" t="str">
        <f aca="false">IF('DATA UNIT'!$B46="","",'DATA UNIT'!$B46)</f>
        <v/>
      </c>
      <c r="B897" s="6" t="str">
        <f aca="false">IF($A897="","",INDEX(PlanningItemsList,16))</f>
        <v/>
      </c>
      <c r="C897" s="7"/>
      <c r="D897" s="7"/>
    </row>
    <row r="898" customFormat="false" ht="15" hidden="false" customHeight="false" outlineLevel="0" collapsed="false">
      <c r="A898" s="6" t="str">
        <f aca="false">IF('DATA UNIT'!$B46="","",'DATA UNIT'!$B46)</f>
        <v/>
      </c>
      <c r="B898" s="6" t="str">
        <f aca="false">IF($A898="","",INDEX(PlanningItemsList,17))</f>
        <v/>
      </c>
      <c r="C898" s="7"/>
      <c r="D898" s="7"/>
    </row>
    <row r="899" customFormat="false" ht="15" hidden="false" customHeight="false" outlineLevel="0" collapsed="false">
      <c r="A899" s="6" t="str">
        <f aca="false">IF('DATA UNIT'!$B46="","",'DATA UNIT'!$B46)</f>
        <v/>
      </c>
      <c r="B899" s="6" t="str">
        <f aca="false">IF($A899="","",INDEX(PlanningItemsList,18))</f>
        <v/>
      </c>
      <c r="C899" s="7"/>
      <c r="D899" s="7"/>
    </row>
    <row r="900" customFormat="false" ht="15" hidden="false" customHeight="false" outlineLevel="0" collapsed="false">
      <c r="A900" s="6" t="str">
        <f aca="false">IF('DATA UNIT'!$B46="","",'DATA UNIT'!$B46)</f>
        <v/>
      </c>
      <c r="B900" s="6" t="str">
        <f aca="false">IF($A900="","",INDEX(PlanningItemsList,19))</f>
        <v/>
      </c>
      <c r="C900" s="7"/>
      <c r="D900" s="7"/>
    </row>
    <row r="901" customFormat="false" ht="15" hidden="false" customHeight="false" outlineLevel="0" collapsed="false">
      <c r="A901" s="6" t="str">
        <f aca="false">IF('DATA UNIT'!$B46="","",'DATA UNIT'!$B46)</f>
        <v/>
      </c>
      <c r="B901" s="6" t="str">
        <f aca="false">IF($A901="","",INDEX(PlanningItemsList,20))</f>
        <v/>
      </c>
      <c r="C901" s="7"/>
      <c r="D901" s="7"/>
    </row>
    <row r="902" customFormat="false" ht="15" hidden="false" customHeight="false" outlineLevel="0" collapsed="false">
      <c r="A902" s="6" t="str">
        <f aca="false">IF('DATA UNIT'!$B47="","",'DATA UNIT'!$B47)</f>
        <v/>
      </c>
      <c r="B902" s="6" t="str">
        <f aca="false">IF($A902="","",INDEX(PlanningItemsList,1))</f>
        <v/>
      </c>
      <c r="C902" s="7"/>
      <c r="D902" s="7"/>
    </row>
    <row r="903" customFormat="false" ht="15" hidden="false" customHeight="false" outlineLevel="0" collapsed="false">
      <c r="A903" s="6" t="str">
        <f aca="false">IF('DATA UNIT'!$B47="","",'DATA UNIT'!$B47)</f>
        <v/>
      </c>
      <c r="B903" s="6" t="str">
        <f aca="false">IF($A903="","",INDEX(PlanningItemsList,2))</f>
        <v/>
      </c>
      <c r="C903" s="7"/>
      <c r="D903" s="7"/>
    </row>
    <row r="904" customFormat="false" ht="15" hidden="false" customHeight="false" outlineLevel="0" collapsed="false">
      <c r="A904" s="6" t="str">
        <f aca="false">IF('DATA UNIT'!$B47="","",'DATA UNIT'!$B47)</f>
        <v/>
      </c>
      <c r="B904" s="6" t="str">
        <f aca="false">IF($A904="","",INDEX(PlanningItemsList,3))</f>
        <v/>
      </c>
      <c r="C904" s="7"/>
      <c r="D904" s="7"/>
    </row>
    <row r="905" customFormat="false" ht="15" hidden="false" customHeight="false" outlineLevel="0" collapsed="false">
      <c r="A905" s="6" t="str">
        <f aca="false">IF('DATA UNIT'!$B47="","",'DATA UNIT'!$B47)</f>
        <v/>
      </c>
      <c r="B905" s="6" t="str">
        <f aca="false">IF($A905="","",INDEX(PlanningItemsList,4))</f>
        <v/>
      </c>
      <c r="C905" s="7"/>
      <c r="D905" s="7"/>
    </row>
    <row r="906" customFormat="false" ht="15" hidden="false" customHeight="false" outlineLevel="0" collapsed="false">
      <c r="A906" s="6" t="str">
        <f aca="false">IF('DATA UNIT'!$B47="","",'DATA UNIT'!$B47)</f>
        <v/>
      </c>
      <c r="B906" s="6" t="str">
        <f aca="false">IF($A906="","",INDEX(PlanningItemsList,5))</f>
        <v/>
      </c>
      <c r="C906" s="7"/>
      <c r="D906" s="7"/>
    </row>
    <row r="907" customFormat="false" ht="15" hidden="false" customHeight="false" outlineLevel="0" collapsed="false">
      <c r="A907" s="6" t="str">
        <f aca="false">IF('DATA UNIT'!$B47="","",'DATA UNIT'!$B47)</f>
        <v/>
      </c>
      <c r="B907" s="6" t="str">
        <f aca="false">IF($A907="","",INDEX(PlanningItemsList,6))</f>
        <v/>
      </c>
      <c r="C907" s="7"/>
      <c r="D907" s="7"/>
    </row>
    <row r="908" customFormat="false" ht="15" hidden="false" customHeight="false" outlineLevel="0" collapsed="false">
      <c r="A908" s="6" t="str">
        <f aca="false">IF('DATA UNIT'!$B47="","",'DATA UNIT'!$B47)</f>
        <v/>
      </c>
      <c r="B908" s="6" t="str">
        <f aca="false">IF($A908="","",INDEX(PlanningItemsList,7))</f>
        <v/>
      </c>
      <c r="C908" s="7"/>
      <c r="D908" s="7"/>
    </row>
    <row r="909" customFormat="false" ht="15" hidden="false" customHeight="false" outlineLevel="0" collapsed="false">
      <c r="A909" s="6" t="str">
        <f aca="false">IF('DATA UNIT'!$B47="","",'DATA UNIT'!$B47)</f>
        <v/>
      </c>
      <c r="B909" s="6" t="str">
        <f aca="false">IF($A909="","",INDEX(PlanningItemsList,8))</f>
        <v/>
      </c>
      <c r="C909" s="7"/>
      <c r="D909" s="7"/>
    </row>
    <row r="910" customFormat="false" ht="15" hidden="false" customHeight="false" outlineLevel="0" collapsed="false">
      <c r="A910" s="6" t="str">
        <f aca="false">IF('DATA UNIT'!$B47="","",'DATA UNIT'!$B47)</f>
        <v/>
      </c>
      <c r="B910" s="6" t="str">
        <f aca="false">IF($A910="","",INDEX(PlanningItemsList,9))</f>
        <v/>
      </c>
      <c r="C910" s="7"/>
      <c r="D910" s="7"/>
    </row>
    <row r="911" customFormat="false" ht="15" hidden="false" customHeight="false" outlineLevel="0" collapsed="false">
      <c r="A911" s="6" t="str">
        <f aca="false">IF('DATA UNIT'!$B47="","",'DATA UNIT'!$B47)</f>
        <v/>
      </c>
      <c r="B911" s="6" t="str">
        <f aca="false">IF($A911="","",INDEX(PlanningItemsList,10))</f>
        <v/>
      </c>
      <c r="C911" s="7"/>
      <c r="D911" s="7"/>
    </row>
    <row r="912" customFormat="false" ht="15" hidden="false" customHeight="false" outlineLevel="0" collapsed="false">
      <c r="A912" s="6" t="str">
        <f aca="false">IF('DATA UNIT'!$B47="","",'DATA UNIT'!$B47)</f>
        <v/>
      </c>
      <c r="B912" s="6" t="str">
        <f aca="false">IF($A912="","",INDEX(PlanningItemsList,11))</f>
        <v/>
      </c>
      <c r="C912" s="7"/>
      <c r="D912" s="7"/>
    </row>
    <row r="913" customFormat="false" ht="15" hidden="false" customHeight="false" outlineLevel="0" collapsed="false">
      <c r="A913" s="6" t="str">
        <f aca="false">IF('DATA UNIT'!$B47="","",'DATA UNIT'!$B47)</f>
        <v/>
      </c>
      <c r="B913" s="6" t="str">
        <f aca="false">IF($A913="","",INDEX(PlanningItemsList,12))</f>
        <v/>
      </c>
      <c r="C913" s="7"/>
      <c r="D913" s="7"/>
    </row>
    <row r="914" customFormat="false" ht="15" hidden="false" customHeight="false" outlineLevel="0" collapsed="false">
      <c r="A914" s="6" t="str">
        <f aca="false">IF('DATA UNIT'!$B47="","",'DATA UNIT'!$B47)</f>
        <v/>
      </c>
      <c r="B914" s="6" t="str">
        <f aca="false">IF($A914="","",INDEX(PlanningItemsList,13))</f>
        <v/>
      </c>
      <c r="C914" s="7"/>
      <c r="D914" s="7"/>
    </row>
    <row r="915" customFormat="false" ht="15" hidden="false" customHeight="false" outlineLevel="0" collapsed="false">
      <c r="A915" s="6" t="str">
        <f aca="false">IF('DATA UNIT'!$B47="","",'DATA UNIT'!$B47)</f>
        <v/>
      </c>
      <c r="B915" s="6" t="str">
        <f aca="false">IF($A915="","",INDEX(PlanningItemsList,14))</f>
        <v/>
      </c>
      <c r="C915" s="7"/>
      <c r="D915" s="7"/>
    </row>
    <row r="916" customFormat="false" ht="15" hidden="false" customHeight="false" outlineLevel="0" collapsed="false">
      <c r="A916" s="6" t="str">
        <f aca="false">IF('DATA UNIT'!$B47="","",'DATA UNIT'!$B47)</f>
        <v/>
      </c>
      <c r="B916" s="6" t="str">
        <f aca="false">IF($A916="","",INDEX(PlanningItemsList,15))</f>
        <v/>
      </c>
      <c r="C916" s="7"/>
      <c r="D916" s="7"/>
    </row>
    <row r="917" customFormat="false" ht="15" hidden="false" customHeight="false" outlineLevel="0" collapsed="false">
      <c r="A917" s="6" t="str">
        <f aca="false">IF('DATA UNIT'!$B47="","",'DATA UNIT'!$B47)</f>
        <v/>
      </c>
      <c r="B917" s="6" t="str">
        <f aca="false">IF($A917="","",INDEX(PlanningItemsList,16))</f>
        <v/>
      </c>
      <c r="C917" s="7"/>
      <c r="D917" s="7"/>
    </row>
    <row r="918" customFormat="false" ht="15" hidden="false" customHeight="false" outlineLevel="0" collapsed="false">
      <c r="A918" s="6" t="str">
        <f aca="false">IF('DATA UNIT'!$B47="","",'DATA UNIT'!$B47)</f>
        <v/>
      </c>
      <c r="B918" s="6" t="str">
        <f aca="false">IF($A918="","",INDEX(PlanningItemsList,17))</f>
        <v/>
      </c>
      <c r="C918" s="7"/>
      <c r="D918" s="7"/>
    </row>
    <row r="919" customFormat="false" ht="15" hidden="false" customHeight="false" outlineLevel="0" collapsed="false">
      <c r="A919" s="6" t="str">
        <f aca="false">IF('DATA UNIT'!$B47="","",'DATA UNIT'!$B47)</f>
        <v/>
      </c>
      <c r="B919" s="6" t="str">
        <f aca="false">IF($A919="","",INDEX(PlanningItemsList,18))</f>
        <v/>
      </c>
      <c r="C919" s="7"/>
      <c r="D919" s="7"/>
    </row>
    <row r="920" customFormat="false" ht="15" hidden="false" customHeight="false" outlineLevel="0" collapsed="false">
      <c r="A920" s="6" t="str">
        <f aca="false">IF('DATA UNIT'!$B47="","",'DATA UNIT'!$B47)</f>
        <v/>
      </c>
      <c r="B920" s="6" t="str">
        <f aca="false">IF($A920="","",INDEX(PlanningItemsList,19))</f>
        <v/>
      </c>
      <c r="C920" s="7"/>
      <c r="D920" s="7"/>
    </row>
    <row r="921" customFormat="false" ht="15" hidden="false" customHeight="false" outlineLevel="0" collapsed="false">
      <c r="A921" s="6" t="str">
        <f aca="false">IF('DATA UNIT'!$B47="","",'DATA UNIT'!$B47)</f>
        <v/>
      </c>
      <c r="B921" s="6" t="str">
        <f aca="false">IF($A921="","",INDEX(PlanningItemsList,20))</f>
        <v/>
      </c>
      <c r="C921" s="7"/>
      <c r="D921" s="7"/>
    </row>
    <row r="922" customFormat="false" ht="15" hidden="false" customHeight="false" outlineLevel="0" collapsed="false">
      <c r="A922" s="6" t="str">
        <f aca="false">IF('DATA UNIT'!$B48="","",'DATA UNIT'!$B48)</f>
        <v/>
      </c>
      <c r="B922" s="6" t="str">
        <f aca="false">IF($A922="","",INDEX(PlanningItemsList,1))</f>
        <v/>
      </c>
      <c r="C922" s="7"/>
      <c r="D922" s="7"/>
    </row>
    <row r="923" customFormat="false" ht="15" hidden="false" customHeight="false" outlineLevel="0" collapsed="false">
      <c r="A923" s="6" t="str">
        <f aca="false">IF('DATA UNIT'!$B48="","",'DATA UNIT'!$B48)</f>
        <v/>
      </c>
      <c r="B923" s="6" t="str">
        <f aca="false">IF($A923="","",INDEX(PlanningItemsList,2))</f>
        <v/>
      </c>
      <c r="C923" s="7"/>
      <c r="D923" s="7"/>
    </row>
    <row r="924" customFormat="false" ht="15" hidden="false" customHeight="false" outlineLevel="0" collapsed="false">
      <c r="A924" s="6" t="str">
        <f aca="false">IF('DATA UNIT'!$B48="","",'DATA UNIT'!$B48)</f>
        <v/>
      </c>
      <c r="B924" s="6" t="str">
        <f aca="false">IF($A924="","",INDEX(PlanningItemsList,3))</f>
        <v/>
      </c>
      <c r="C924" s="7"/>
      <c r="D924" s="7"/>
    </row>
    <row r="925" customFormat="false" ht="15" hidden="false" customHeight="false" outlineLevel="0" collapsed="false">
      <c r="A925" s="6" t="str">
        <f aca="false">IF('DATA UNIT'!$B48="","",'DATA UNIT'!$B48)</f>
        <v/>
      </c>
      <c r="B925" s="6" t="str">
        <f aca="false">IF($A925="","",INDEX(PlanningItemsList,4))</f>
        <v/>
      </c>
      <c r="C925" s="7"/>
      <c r="D925" s="7"/>
    </row>
    <row r="926" customFormat="false" ht="15" hidden="false" customHeight="false" outlineLevel="0" collapsed="false">
      <c r="A926" s="6" t="str">
        <f aca="false">IF('DATA UNIT'!$B48="","",'DATA UNIT'!$B48)</f>
        <v/>
      </c>
      <c r="B926" s="6" t="str">
        <f aca="false">IF($A926="","",INDEX(PlanningItemsList,5))</f>
        <v/>
      </c>
      <c r="C926" s="7"/>
      <c r="D926" s="7"/>
    </row>
    <row r="927" customFormat="false" ht="15" hidden="false" customHeight="false" outlineLevel="0" collapsed="false">
      <c r="A927" s="6" t="str">
        <f aca="false">IF('DATA UNIT'!$B48="","",'DATA UNIT'!$B48)</f>
        <v/>
      </c>
      <c r="B927" s="6" t="str">
        <f aca="false">IF($A927="","",INDEX(PlanningItemsList,6))</f>
        <v/>
      </c>
      <c r="C927" s="7"/>
      <c r="D927" s="7"/>
    </row>
    <row r="928" customFormat="false" ht="15" hidden="false" customHeight="false" outlineLevel="0" collapsed="false">
      <c r="A928" s="6" t="str">
        <f aca="false">IF('DATA UNIT'!$B48="","",'DATA UNIT'!$B48)</f>
        <v/>
      </c>
      <c r="B928" s="6" t="str">
        <f aca="false">IF($A928="","",INDEX(PlanningItemsList,7))</f>
        <v/>
      </c>
      <c r="C928" s="7"/>
      <c r="D928" s="7"/>
    </row>
    <row r="929" customFormat="false" ht="15" hidden="false" customHeight="false" outlineLevel="0" collapsed="false">
      <c r="A929" s="6" t="str">
        <f aca="false">IF('DATA UNIT'!$B48="","",'DATA UNIT'!$B48)</f>
        <v/>
      </c>
      <c r="B929" s="6" t="str">
        <f aca="false">IF($A929="","",INDEX(PlanningItemsList,8))</f>
        <v/>
      </c>
      <c r="C929" s="7"/>
      <c r="D929" s="7"/>
    </row>
    <row r="930" customFormat="false" ht="15" hidden="false" customHeight="false" outlineLevel="0" collapsed="false">
      <c r="A930" s="6" t="str">
        <f aca="false">IF('DATA UNIT'!$B48="","",'DATA UNIT'!$B48)</f>
        <v/>
      </c>
      <c r="B930" s="6" t="str">
        <f aca="false">IF($A930="","",INDEX(PlanningItemsList,9))</f>
        <v/>
      </c>
      <c r="C930" s="7"/>
      <c r="D930" s="7"/>
    </row>
    <row r="931" customFormat="false" ht="15" hidden="false" customHeight="false" outlineLevel="0" collapsed="false">
      <c r="A931" s="6" t="str">
        <f aca="false">IF('DATA UNIT'!$B48="","",'DATA UNIT'!$B48)</f>
        <v/>
      </c>
      <c r="B931" s="6" t="str">
        <f aca="false">IF($A931="","",INDEX(PlanningItemsList,10))</f>
        <v/>
      </c>
      <c r="C931" s="7"/>
      <c r="D931" s="7"/>
    </row>
    <row r="932" customFormat="false" ht="15" hidden="false" customHeight="false" outlineLevel="0" collapsed="false">
      <c r="A932" s="6" t="str">
        <f aca="false">IF('DATA UNIT'!$B48="","",'DATA UNIT'!$B48)</f>
        <v/>
      </c>
      <c r="B932" s="6" t="str">
        <f aca="false">IF($A932="","",INDEX(PlanningItemsList,11))</f>
        <v/>
      </c>
      <c r="C932" s="7"/>
      <c r="D932" s="7"/>
    </row>
    <row r="933" customFormat="false" ht="15" hidden="false" customHeight="false" outlineLevel="0" collapsed="false">
      <c r="A933" s="6" t="str">
        <f aca="false">IF('DATA UNIT'!$B48="","",'DATA UNIT'!$B48)</f>
        <v/>
      </c>
      <c r="B933" s="6" t="str">
        <f aca="false">IF($A933="","",INDEX(PlanningItemsList,12))</f>
        <v/>
      </c>
      <c r="C933" s="7"/>
      <c r="D933" s="7"/>
    </row>
    <row r="934" customFormat="false" ht="15" hidden="false" customHeight="false" outlineLevel="0" collapsed="false">
      <c r="A934" s="6" t="str">
        <f aca="false">IF('DATA UNIT'!$B48="","",'DATA UNIT'!$B48)</f>
        <v/>
      </c>
      <c r="B934" s="6" t="str">
        <f aca="false">IF($A934="","",INDEX(PlanningItemsList,13))</f>
        <v/>
      </c>
      <c r="C934" s="7"/>
      <c r="D934" s="7"/>
    </row>
    <row r="935" customFormat="false" ht="15" hidden="false" customHeight="false" outlineLevel="0" collapsed="false">
      <c r="A935" s="6" t="str">
        <f aca="false">IF('DATA UNIT'!$B48="","",'DATA UNIT'!$B48)</f>
        <v/>
      </c>
      <c r="B935" s="6" t="str">
        <f aca="false">IF($A935="","",INDEX(PlanningItemsList,14))</f>
        <v/>
      </c>
      <c r="C935" s="7"/>
      <c r="D935" s="7"/>
    </row>
    <row r="936" customFormat="false" ht="15" hidden="false" customHeight="false" outlineLevel="0" collapsed="false">
      <c r="A936" s="6" t="str">
        <f aca="false">IF('DATA UNIT'!$B48="","",'DATA UNIT'!$B48)</f>
        <v/>
      </c>
      <c r="B936" s="6" t="str">
        <f aca="false">IF($A936="","",INDEX(PlanningItemsList,15))</f>
        <v/>
      </c>
      <c r="C936" s="7"/>
      <c r="D936" s="7"/>
    </row>
    <row r="937" customFormat="false" ht="15" hidden="false" customHeight="false" outlineLevel="0" collapsed="false">
      <c r="A937" s="6" t="str">
        <f aca="false">IF('DATA UNIT'!$B48="","",'DATA UNIT'!$B48)</f>
        <v/>
      </c>
      <c r="B937" s="6" t="str">
        <f aca="false">IF($A937="","",INDEX(PlanningItemsList,16))</f>
        <v/>
      </c>
      <c r="C937" s="7"/>
      <c r="D937" s="7"/>
    </row>
    <row r="938" customFormat="false" ht="15" hidden="false" customHeight="false" outlineLevel="0" collapsed="false">
      <c r="A938" s="6" t="str">
        <f aca="false">IF('DATA UNIT'!$B48="","",'DATA UNIT'!$B48)</f>
        <v/>
      </c>
      <c r="B938" s="6" t="str">
        <f aca="false">IF($A938="","",INDEX(PlanningItemsList,17))</f>
        <v/>
      </c>
      <c r="C938" s="7"/>
      <c r="D938" s="7"/>
    </row>
    <row r="939" customFormat="false" ht="15" hidden="false" customHeight="false" outlineLevel="0" collapsed="false">
      <c r="A939" s="6" t="str">
        <f aca="false">IF('DATA UNIT'!$B48="","",'DATA UNIT'!$B48)</f>
        <v/>
      </c>
      <c r="B939" s="6" t="str">
        <f aca="false">IF($A939="","",INDEX(PlanningItemsList,18))</f>
        <v/>
      </c>
      <c r="C939" s="7"/>
      <c r="D939" s="7"/>
    </row>
    <row r="940" customFormat="false" ht="15" hidden="false" customHeight="false" outlineLevel="0" collapsed="false">
      <c r="A940" s="6" t="str">
        <f aca="false">IF('DATA UNIT'!$B48="","",'DATA UNIT'!$B48)</f>
        <v/>
      </c>
      <c r="B940" s="6" t="str">
        <f aca="false">IF($A940="","",INDEX(PlanningItemsList,19))</f>
        <v/>
      </c>
      <c r="C940" s="7"/>
      <c r="D940" s="7"/>
    </row>
    <row r="941" customFormat="false" ht="15" hidden="false" customHeight="false" outlineLevel="0" collapsed="false">
      <c r="A941" s="6" t="str">
        <f aca="false">IF('DATA UNIT'!$B48="","",'DATA UNIT'!$B48)</f>
        <v/>
      </c>
      <c r="B941" s="6" t="str">
        <f aca="false">IF($A941="","",INDEX(PlanningItemsList,20))</f>
        <v/>
      </c>
      <c r="C941" s="7"/>
      <c r="D941" s="7"/>
    </row>
    <row r="942" customFormat="false" ht="15" hidden="false" customHeight="false" outlineLevel="0" collapsed="false">
      <c r="A942" s="6" t="str">
        <f aca="false">IF('DATA UNIT'!$B49="","",'DATA UNIT'!$B49)</f>
        <v/>
      </c>
      <c r="B942" s="6" t="str">
        <f aca="false">IF($A942="","",INDEX(PlanningItemsList,1))</f>
        <v/>
      </c>
      <c r="C942" s="7"/>
      <c r="D942" s="7"/>
    </row>
    <row r="943" customFormat="false" ht="15" hidden="false" customHeight="false" outlineLevel="0" collapsed="false">
      <c r="A943" s="6" t="str">
        <f aca="false">IF('DATA UNIT'!$B49="","",'DATA UNIT'!$B49)</f>
        <v/>
      </c>
      <c r="B943" s="6" t="str">
        <f aca="false">IF($A943="","",INDEX(PlanningItemsList,2))</f>
        <v/>
      </c>
      <c r="C943" s="7"/>
      <c r="D943" s="7"/>
    </row>
    <row r="944" customFormat="false" ht="15" hidden="false" customHeight="false" outlineLevel="0" collapsed="false">
      <c r="A944" s="6" t="str">
        <f aca="false">IF('DATA UNIT'!$B49="","",'DATA UNIT'!$B49)</f>
        <v/>
      </c>
      <c r="B944" s="6" t="str">
        <f aca="false">IF($A944="","",INDEX(PlanningItemsList,3))</f>
        <v/>
      </c>
      <c r="C944" s="7"/>
      <c r="D944" s="7"/>
    </row>
    <row r="945" customFormat="false" ht="15" hidden="false" customHeight="false" outlineLevel="0" collapsed="false">
      <c r="A945" s="6" t="str">
        <f aca="false">IF('DATA UNIT'!$B49="","",'DATA UNIT'!$B49)</f>
        <v/>
      </c>
      <c r="B945" s="6" t="str">
        <f aca="false">IF($A945="","",INDEX(PlanningItemsList,4))</f>
        <v/>
      </c>
      <c r="C945" s="7"/>
      <c r="D945" s="7"/>
    </row>
    <row r="946" customFormat="false" ht="15" hidden="false" customHeight="false" outlineLevel="0" collapsed="false">
      <c r="A946" s="6" t="str">
        <f aca="false">IF('DATA UNIT'!$B49="","",'DATA UNIT'!$B49)</f>
        <v/>
      </c>
      <c r="B946" s="6" t="str">
        <f aca="false">IF($A946="","",INDEX(PlanningItemsList,5))</f>
        <v/>
      </c>
      <c r="C946" s="7"/>
      <c r="D946" s="7"/>
    </row>
    <row r="947" customFormat="false" ht="15" hidden="false" customHeight="false" outlineLevel="0" collapsed="false">
      <c r="A947" s="6" t="str">
        <f aca="false">IF('DATA UNIT'!$B49="","",'DATA UNIT'!$B49)</f>
        <v/>
      </c>
      <c r="B947" s="6" t="str">
        <f aca="false">IF($A947="","",INDEX(PlanningItemsList,6))</f>
        <v/>
      </c>
      <c r="C947" s="7"/>
      <c r="D947" s="7"/>
    </row>
    <row r="948" customFormat="false" ht="15" hidden="false" customHeight="false" outlineLevel="0" collapsed="false">
      <c r="A948" s="6" t="str">
        <f aca="false">IF('DATA UNIT'!$B49="","",'DATA UNIT'!$B49)</f>
        <v/>
      </c>
      <c r="B948" s="6" t="str">
        <f aca="false">IF($A948="","",INDEX(PlanningItemsList,7))</f>
        <v/>
      </c>
      <c r="C948" s="7"/>
      <c r="D948" s="7"/>
    </row>
    <row r="949" customFormat="false" ht="15" hidden="false" customHeight="false" outlineLevel="0" collapsed="false">
      <c r="A949" s="6" t="str">
        <f aca="false">IF('DATA UNIT'!$B49="","",'DATA UNIT'!$B49)</f>
        <v/>
      </c>
      <c r="B949" s="6" t="str">
        <f aca="false">IF($A949="","",INDEX(PlanningItemsList,8))</f>
        <v/>
      </c>
      <c r="C949" s="7"/>
      <c r="D949" s="7"/>
    </row>
    <row r="950" customFormat="false" ht="15" hidden="false" customHeight="false" outlineLevel="0" collapsed="false">
      <c r="A950" s="6" t="str">
        <f aca="false">IF('DATA UNIT'!$B49="","",'DATA UNIT'!$B49)</f>
        <v/>
      </c>
      <c r="B950" s="6" t="str">
        <f aca="false">IF($A950="","",INDEX(PlanningItemsList,9))</f>
        <v/>
      </c>
      <c r="C950" s="7"/>
      <c r="D950" s="7"/>
    </row>
    <row r="951" customFormat="false" ht="15" hidden="false" customHeight="false" outlineLevel="0" collapsed="false">
      <c r="A951" s="6" t="str">
        <f aca="false">IF('DATA UNIT'!$B49="","",'DATA UNIT'!$B49)</f>
        <v/>
      </c>
      <c r="B951" s="6" t="str">
        <f aca="false">IF($A951="","",INDEX(PlanningItemsList,10))</f>
        <v/>
      </c>
      <c r="C951" s="7"/>
      <c r="D951" s="7"/>
    </row>
    <row r="952" customFormat="false" ht="15" hidden="false" customHeight="false" outlineLevel="0" collapsed="false">
      <c r="A952" s="6" t="str">
        <f aca="false">IF('DATA UNIT'!$B49="","",'DATA UNIT'!$B49)</f>
        <v/>
      </c>
      <c r="B952" s="6" t="str">
        <f aca="false">IF($A952="","",INDEX(PlanningItemsList,11))</f>
        <v/>
      </c>
      <c r="C952" s="7"/>
      <c r="D952" s="7"/>
    </row>
    <row r="953" customFormat="false" ht="15" hidden="false" customHeight="false" outlineLevel="0" collapsed="false">
      <c r="A953" s="6" t="str">
        <f aca="false">IF('DATA UNIT'!$B49="","",'DATA UNIT'!$B49)</f>
        <v/>
      </c>
      <c r="B953" s="6" t="str">
        <f aca="false">IF($A953="","",INDEX(PlanningItemsList,12))</f>
        <v/>
      </c>
      <c r="C953" s="7"/>
      <c r="D953" s="7"/>
    </row>
    <row r="954" customFormat="false" ht="15" hidden="false" customHeight="false" outlineLevel="0" collapsed="false">
      <c r="A954" s="6" t="str">
        <f aca="false">IF('DATA UNIT'!$B49="","",'DATA UNIT'!$B49)</f>
        <v/>
      </c>
      <c r="B954" s="6" t="str">
        <f aca="false">IF($A954="","",INDEX(PlanningItemsList,13))</f>
        <v/>
      </c>
      <c r="C954" s="7"/>
      <c r="D954" s="7"/>
    </row>
    <row r="955" customFormat="false" ht="15" hidden="false" customHeight="false" outlineLevel="0" collapsed="false">
      <c r="A955" s="6" t="str">
        <f aca="false">IF('DATA UNIT'!$B49="","",'DATA UNIT'!$B49)</f>
        <v/>
      </c>
      <c r="B955" s="6" t="str">
        <f aca="false">IF($A955="","",INDEX(PlanningItemsList,14))</f>
        <v/>
      </c>
      <c r="C955" s="7"/>
      <c r="D955" s="7"/>
    </row>
    <row r="956" customFormat="false" ht="15" hidden="false" customHeight="false" outlineLevel="0" collapsed="false">
      <c r="A956" s="6" t="str">
        <f aca="false">IF('DATA UNIT'!$B49="","",'DATA UNIT'!$B49)</f>
        <v/>
      </c>
      <c r="B956" s="6" t="str">
        <f aca="false">IF($A956="","",INDEX(PlanningItemsList,15))</f>
        <v/>
      </c>
      <c r="C956" s="7"/>
      <c r="D956" s="7"/>
    </row>
    <row r="957" customFormat="false" ht="15" hidden="false" customHeight="false" outlineLevel="0" collapsed="false">
      <c r="A957" s="6" t="str">
        <f aca="false">IF('DATA UNIT'!$B49="","",'DATA UNIT'!$B49)</f>
        <v/>
      </c>
      <c r="B957" s="6" t="str">
        <f aca="false">IF($A957="","",INDEX(PlanningItemsList,16))</f>
        <v/>
      </c>
      <c r="C957" s="7"/>
      <c r="D957" s="7"/>
    </row>
    <row r="958" customFormat="false" ht="15" hidden="false" customHeight="false" outlineLevel="0" collapsed="false">
      <c r="A958" s="6" t="str">
        <f aca="false">IF('DATA UNIT'!$B49="","",'DATA UNIT'!$B49)</f>
        <v/>
      </c>
      <c r="B958" s="6" t="str">
        <f aca="false">IF($A958="","",INDEX(PlanningItemsList,17))</f>
        <v/>
      </c>
      <c r="C958" s="7"/>
      <c r="D958" s="7"/>
    </row>
    <row r="959" customFormat="false" ht="15" hidden="false" customHeight="false" outlineLevel="0" collapsed="false">
      <c r="A959" s="6" t="str">
        <f aca="false">IF('DATA UNIT'!$B49="","",'DATA UNIT'!$B49)</f>
        <v/>
      </c>
      <c r="B959" s="6" t="str">
        <f aca="false">IF($A959="","",INDEX(PlanningItemsList,18))</f>
        <v/>
      </c>
      <c r="C959" s="7"/>
      <c r="D959" s="7"/>
    </row>
    <row r="960" customFormat="false" ht="15" hidden="false" customHeight="false" outlineLevel="0" collapsed="false">
      <c r="A960" s="6" t="str">
        <f aca="false">IF('DATA UNIT'!$B49="","",'DATA UNIT'!$B49)</f>
        <v/>
      </c>
      <c r="B960" s="6" t="str">
        <f aca="false">IF($A960="","",INDEX(PlanningItemsList,19))</f>
        <v/>
      </c>
      <c r="C960" s="7"/>
      <c r="D960" s="7"/>
    </row>
    <row r="961" customFormat="false" ht="15" hidden="false" customHeight="false" outlineLevel="0" collapsed="false">
      <c r="A961" s="6" t="str">
        <f aca="false">IF('DATA UNIT'!$B49="","",'DATA UNIT'!$B49)</f>
        <v/>
      </c>
      <c r="B961" s="6" t="str">
        <f aca="false">IF($A961="","",INDEX(PlanningItemsList,20))</f>
        <v/>
      </c>
      <c r="C961" s="7"/>
      <c r="D961" s="7"/>
    </row>
    <row r="962" customFormat="false" ht="15" hidden="false" customHeight="false" outlineLevel="0" collapsed="false">
      <c r="A962" s="6" t="str">
        <f aca="false">IF('DATA UNIT'!$B50="","",'DATA UNIT'!$B50)</f>
        <v/>
      </c>
      <c r="B962" s="6" t="str">
        <f aca="false">IF($A962="","",INDEX(PlanningItemsList,1))</f>
        <v/>
      </c>
      <c r="C962" s="7"/>
      <c r="D962" s="7"/>
    </row>
    <row r="963" customFormat="false" ht="15" hidden="false" customHeight="false" outlineLevel="0" collapsed="false">
      <c r="A963" s="6" t="str">
        <f aca="false">IF('DATA UNIT'!$B50="","",'DATA UNIT'!$B50)</f>
        <v/>
      </c>
      <c r="B963" s="6" t="str">
        <f aca="false">IF($A963="","",INDEX(PlanningItemsList,2))</f>
        <v/>
      </c>
      <c r="C963" s="7"/>
      <c r="D963" s="7"/>
    </row>
    <row r="964" customFormat="false" ht="15" hidden="false" customHeight="false" outlineLevel="0" collapsed="false">
      <c r="A964" s="6" t="str">
        <f aca="false">IF('DATA UNIT'!$B50="","",'DATA UNIT'!$B50)</f>
        <v/>
      </c>
      <c r="B964" s="6" t="str">
        <f aca="false">IF($A964="","",INDEX(PlanningItemsList,3))</f>
        <v/>
      </c>
      <c r="C964" s="7"/>
      <c r="D964" s="7"/>
    </row>
    <row r="965" customFormat="false" ht="15" hidden="false" customHeight="false" outlineLevel="0" collapsed="false">
      <c r="A965" s="6" t="str">
        <f aca="false">IF('DATA UNIT'!$B50="","",'DATA UNIT'!$B50)</f>
        <v/>
      </c>
      <c r="B965" s="6" t="str">
        <f aca="false">IF($A965="","",INDEX(PlanningItemsList,4))</f>
        <v/>
      </c>
      <c r="C965" s="7"/>
      <c r="D965" s="7"/>
    </row>
    <row r="966" customFormat="false" ht="15" hidden="false" customHeight="false" outlineLevel="0" collapsed="false">
      <c r="A966" s="6" t="str">
        <f aca="false">IF('DATA UNIT'!$B50="","",'DATA UNIT'!$B50)</f>
        <v/>
      </c>
      <c r="B966" s="6" t="str">
        <f aca="false">IF($A966="","",INDEX(PlanningItemsList,5))</f>
        <v/>
      </c>
      <c r="C966" s="7"/>
      <c r="D966" s="7"/>
    </row>
    <row r="967" customFormat="false" ht="15" hidden="false" customHeight="false" outlineLevel="0" collapsed="false">
      <c r="A967" s="6" t="str">
        <f aca="false">IF('DATA UNIT'!$B50="","",'DATA UNIT'!$B50)</f>
        <v/>
      </c>
      <c r="B967" s="6" t="str">
        <f aca="false">IF($A967="","",INDEX(PlanningItemsList,6))</f>
        <v/>
      </c>
      <c r="C967" s="7"/>
      <c r="D967" s="7"/>
    </row>
    <row r="968" customFormat="false" ht="15" hidden="false" customHeight="false" outlineLevel="0" collapsed="false">
      <c r="A968" s="6" t="str">
        <f aca="false">IF('DATA UNIT'!$B50="","",'DATA UNIT'!$B50)</f>
        <v/>
      </c>
      <c r="B968" s="6" t="str">
        <f aca="false">IF($A968="","",INDEX(PlanningItemsList,7))</f>
        <v/>
      </c>
      <c r="C968" s="7"/>
      <c r="D968" s="7"/>
    </row>
    <row r="969" customFormat="false" ht="15" hidden="false" customHeight="false" outlineLevel="0" collapsed="false">
      <c r="A969" s="6" t="str">
        <f aca="false">IF('DATA UNIT'!$B50="","",'DATA UNIT'!$B50)</f>
        <v/>
      </c>
      <c r="B969" s="6" t="str">
        <f aca="false">IF($A969="","",INDEX(PlanningItemsList,8))</f>
        <v/>
      </c>
      <c r="C969" s="7"/>
      <c r="D969" s="7"/>
    </row>
    <row r="970" customFormat="false" ht="15" hidden="false" customHeight="false" outlineLevel="0" collapsed="false">
      <c r="A970" s="6" t="str">
        <f aca="false">IF('DATA UNIT'!$B50="","",'DATA UNIT'!$B50)</f>
        <v/>
      </c>
      <c r="B970" s="6" t="str">
        <f aca="false">IF($A970="","",INDEX(PlanningItemsList,9))</f>
        <v/>
      </c>
      <c r="C970" s="7"/>
      <c r="D970" s="7"/>
    </row>
    <row r="971" customFormat="false" ht="15" hidden="false" customHeight="false" outlineLevel="0" collapsed="false">
      <c r="A971" s="6" t="str">
        <f aca="false">IF('DATA UNIT'!$B50="","",'DATA UNIT'!$B50)</f>
        <v/>
      </c>
      <c r="B971" s="6" t="str">
        <f aca="false">IF($A971="","",INDEX(PlanningItemsList,10))</f>
        <v/>
      </c>
      <c r="C971" s="7"/>
      <c r="D971" s="7"/>
    </row>
    <row r="972" customFormat="false" ht="15" hidden="false" customHeight="false" outlineLevel="0" collapsed="false">
      <c r="A972" s="6" t="str">
        <f aca="false">IF('DATA UNIT'!$B50="","",'DATA UNIT'!$B50)</f>
        <v/>
      </c>
      <c r="B972" s="6" t="str">
        <f aca="false">IF($A972="","",INDEX(PlanningItemsList,11))</f>
        <v/>
      </c>
      <c r="C972" s="7"/>
      <c r="D972" s="7"/>
    </row>
    <row r="973" customFormat="false" ht="15" hidden="false" customHeight="false" outlineLevel="0" collapsed="false">
      <c r="A973" s="6" t="str">
        <f aca="false">IF('DATA UNIT'!$B50="","",'DATA UNIT'!$B50)</f>
        <v/>
      </c>
      <c r="B973" s="6" t="str">
        <f aca="false">IF($A973="","",INDEX(PlanningItemsList,12))</f>
        <v/>
      </c>
      <c r="C973" s="7"/>
      <c r="D973" s="7"/>
    </row>
    <row r="974" customFormat="false" ht="15" hidden="false" customHeight="false" outlineLevel="0" collapsed="false">
      <c r="A974" s="6" t="str">
        <f aca="false">IF('DATA UNIT'!$B50="","",'DATA UNIT'!$B50)</f>
        <v/>
      </c>
      <c r="B974" s="6" t="str">
        <f aca="false">IF($A974="","",INDEX(PlanningItemsList,13))</f>
        <v/>
      </c>
      <c r="C974" s="7"/>
      <c r="D974" s="7"/>
    </row>
    <row r="975" customFormat="false" ht="15" hidden="false" customHeight="false" outlineLevel="0" collapsed="false">
      <c r="A975" s="6" t="str">
        <f aca="false">IF('DATA UNIT'!$B50="","",'DATA UNIT'!$B50)</f>
        <v/>
      </c>
      <c r="B975" s="6" t="str">
        <f aca="false">IF($A975="","",INDEX(PlanningItemsList,14))</f>
        <v/>
      </c>
      <c r="C975" s="7"/>
      <c r="D975" s="7"/>
    </row>
    <row r="976" customFormat="false" ht="15" hidden="false" customHeight="false" outlineLevel="0" collapsed="false">
      <c r="A976" s="6" t="str">
        <f aca="false">IF('DATA UNIT'!$B50="","",'DATA UNIT'!$B50)</f>
        <v/>
      </c>
      <c r="B976" s="6" t="str">
        <f aca="false">IF($A976="","",INDEX(PlanningItemsList,15))</f>
        <v/>
      </c>
      <c r="C976" s="7"/>
      <c r="D976" s="7"/>
    </row>
    <row r="977" customFormat="false" ht="15" hidden="false" customHeight="false" outlineLevel="0" collapsed="false">
      <c r="A977" s="6" t="str">
        <f aca="false">IF('DATA UNIT'!$B50="","",'DATA UNIT'!$B50)</f>
        <v/>
      </c>
      <c r="B977" s="6" t="str">
        <f aca="false">IF($A977="","",INDEX(PlanningItemsList,16))</f>
        <v/>
      </c>
      <c r="C977" s="7"/>
      <c r="D977" s="7"/>
    </row>
    <row r="978" customFormat="false" ht="15" hidden="false" customHeight="false" outlineLevel="0" collapsed="false">
      <c r="A978" s="6" t="str">
        <f aca="false">IF('DATA UNIT'!$B50="","",'DATA UNIT'!$B50)</f>
        <v/>
      </c>
      <c r="B978" s="6" t="str">
        <f aca="false">IF($A978="","",INDEX(PlanningItemsList,17))</f>
        <v/>
      </c>
      <c r="C978" s="7"/>
      <c r="D978" s="7"/>
    </row>
    <row r="979" customFormat="false" ht="15" hidden="false" customHeight="false" outlineLevel="0" collapsed="false">
      <c r="A979" s="6" t="str">
        <f aca="false">IF('DATA UNIT'!$B50="","",'DATA UNIT'!$B50)</f>
        <v/>
      </c>
      <c r="B979" s="6" t="str">
        <f aca="false">IF($A979="","",INDEX(PlanningItemsList,18))</f>
        <v/>
      </c>
      <c r="C979" s="7"/>
      <c r="D979" s="7"/>
    </row>
    <row r="980" customFormat="false" ht="15" hidden="false" customHeight="false" outlineLevel="0" collapsed="false">
      <c r="A980" s="6" t="str">
        <f aca="false">IF('DATA UNIT'!$B50="","",'DATA UNIT'!$B50)</f>
        <v/>
      </c>
      <c r="B980" s="6" t="str">
        <f aca="false">IF($A980="","",INDEX(PlanningItemsList,19))</f>
        <v/>
      </c>
      <c r="C980" s="7"/>
      <c r="D980" s="7"/>
    </row>
    <row r="981" customFormat="false" ht="15" hidden="false" customHeight="false" outlineLevel="0" collapsed="false">
      <c r="A981" s="6" t="str">
        <f aca="false">IF('DATA UNIT'!$B50="","",'DATA UNIT'!$B50)</f>
        <v/>
      </c>
      <c r="B981" s="6" t="str">
        <f aca="false">IF($A981="","",INDEX(PlanningItemsList,20))</f>
        <v/>
      </c>
      <c r="C981" s="7"/>
      <c r="D981" s="7"/>
    </row>
    <row r="982" customFormat="false" ht="15" hidden="false" customHeight="false" outlineLevel="0" collapsed="false">
      <c r="A982" s="6" t="str">
        <f aca="false">IF('DATA UNIT'!$B51="","",'DATA UNIT'!$B51)</f>
        <v/>
      </c>
      <c r="B982" s="6" t="str">
        <f aca="false">IF($A982="","",INDEX(PlanningItemsList,1))</f>
        <v/>
      </c>
      <c r="C982" s="7"/>
      <c r="D982" s="7"/>
    </row>
    <row r="983" customFormat="false" ht="15" hidden="false" customHeight="false" outlineLevel="0" collapsed="false">
      <c r="A983" s="6" t="str">
        <f aca="false">IF('DATA UNIT'!$B51="","",'DATA UNIT'!$B51)</f>
        <v/>
      </c>
      <c r="B983" s="6" t="str">
        <f aca="false">IF($A983="","",INDEX(PlanningItemsList,2))</f>
        <v/>
      </c>
      <c r="C983" s="7"/>
      <c r="D983" s="7"/>
    </row>
    <row r="984" customFormat="false" ht="15" hidden="false" customHeight="false" outlineLevel="0" collapsed="false">
      <c r="A984" s="6" t="str">
        <f aca="false">IF('DATA UNIT'!$B51="","",'DATA UNIT'!$B51)</f>
        <v/>
      </c>
      <c r="B984" s="6" t="str">
        <f aca="false">IF($A984="","",INDEX(PlanningItemsList,3))</f>
        <v/>
      </c>
      <c r="C984" s="7"/>
      <c r="D984" s="7"/>
    </row>
    <row r="985" customFormat="false" ht="15" hidden="false" customHeight="false" outlineLevel="0" collapsed="false">
      <c r="A985" s="6" t="str">
        <f aca="false">IF('DATA UNIT'!$B51="","",'DATA UNIT'!$B51)</f>
        <v/>
      </c>
      <c r="B985" s="6" t="str">
        <f aca="false">IF($A985="","",INDEX(PlanningItemsList,4))</f>
        <v/>
      </c>
      <c r="C985" s="7"/>
      <c r="D985" s="7"/>
    </row>
    <row r="986" customFormat="false" ht="15" hidden="false" customHeight="false" outlineLevel="0" collapsed="false">
      <c r="A986" s="6" t="str">
        <f aca="false">IF('DATA UNIT'!$B51="","",'DATA UNIT'!$B51)</f>
        <v/>
      </c>
      <c r="B986" s="6" t="str">
        <f aca="false">IF($A986="","",INDEX(PlanningItemsList,5))</f>
        <v/>
      </c>
      <c r="C986" s="7"/>
      <c r="D986" s="7"/>
    </row>
    <row r="987" customFormat="false" ht="15" hidden="false" customHeight="false" outlineLevel="0" collapsed="false">
      <c r="A987" s="6" t="str">
        <f aca="false">IF('DATA UNIT'!$B51="","",'DATA UNIT'!$B51)</f>
        <v/>
      </c>
      <c r="B987" s="6" t="str">
        <f aca="false">IF($A987="","",INDEX(PlanningItemsList,6))</f>
        <v/>
      </c>
      <c r="C987" s="7"/>
      <c r="D987" s="7"/>
    </row>
    <row r="988" customFormat="false" ht="15" hidden="false" customHeight="false" outlineLevel="0" collapsed="false">
      <c r="A988" s="6" t="str">
        <f aca="false">IF('DATA UNIT'!$B51="","",'DATA UNIT'!$B51)</f>
        <v/>
      </c>
      <c r="B988" s="6" t="str">
        <f aca="false">IF($A988="","",INDEX(PlanningItemsList,7))</f>
        <v/>
      </c>
      <c r="C988" s="7"/>
      <c r="D988" s="7"/>
    </row>
    <row r="989" customFormat="false" ht="15" hidden="false" customHeight="false" outlineLevel="0" collapsed="false">
      <c r="A989" s="6" t="str">
        <f aca="false">IF('DATA UNIT'!$B51="","",'DATA UNIT'!$B51)</f>
        <v/>
      </c>
      <c r="B989" s="6" t="str">
        <f aca="false">IF($A989="","",INDEX(PlanningItemsList,8))</f>
        <v/>
      </c>
      <c r="C989" s="7"/>
      <c r="D989" s="7"/>
    </row>
    <row r="990" customFormat="false" ht="15" hidden="false" customHeight="false" outlineLevel="0" collapsed="false">
      <c r="A990" s="6" t="str">
        <f aca="false">IF('DATA UNIT'!$B51="","",'DATA UNIT'!$B51)</f>
        <v/>
      </c>
      <c r="B990" s="6" t="str">
        <f aca="false">IF($A990="","",INDEX(PlanningItemsList,9))</f>
        <v/>
      </c>
      <c r="C990" s="7"/>
      <c r="D990" s="7"/>
    </row>
    <row r="991" customFormat="false" ht="15" hidden="false" customHeight="false" outlineLevel="0" collapsed="false">
      <c r="A991" s="6" t="str">
        <f aca="false">IF('DATA UNIT'!$B51="","",'DATA UNIT'!$B51)</f>
        <v/>
      </c>
      <c r="B991" s="6" t="str">
        <f aca="false">IF($A991="","",INDEX(PlanningItemsList,10))</f>
        <v/>
      </c>
      <c r="C991" s="7"/>
      <c r="D991" s="7"/>
    </row>
    <row r="992" customFormat="false" ht="15" hidden="false" customHeight="false" outlineLevel="0" collapsed="false">
      <c r="A992" s="6" t="str">
        <f aca="false">IF('DATA UNIT'!$B51="","",'DATA UNIT'!$B51)</f>
        <v/>
      </c>
      <c r="B992" s="6" t="str">
        <f aca="false">IF($A992="","",INDEX(PlanningItemsList,11))</f>
        <v/>
      </c>
      <c r="C992" s="7"/>
      <c r="D992" s="7"/>
    </row>
    <row r="993" customFormat="false" ht="15" hidden="false" customHeight="false" outlineLevel="0" collapsed="false">
      <c r="A993" s="6" t="str">
        <f aca="false">IF('DATA UNIT'!$B51="","",'DATA UNIT'!$B51)</f>
        <v/>
      </c>
      <c r="B993" s="6" t="str">
        <f aca="false">IF($A993="","",INDEX(PlanningItemsList,12))</f>
        <v/>
      </c>
      <c r="C993" s="7"/>
      <c r="D993" s="7"/>
    </row>
    <row r="994" customFormat="false" ht="15" hidden="false" customHeight="false" outlineLevel="0" collapsed="false">
      <c r="A994" s="6" t="str">
        <f aca="false">IF('DATA UNIT'!$B51="","",'DATA UNIT'!$B51)</f>
        <v/>
      </c>
      <c r="B994" s="6" t="str">
        <f aca="false">IF($A994="","",INDEX(PlanningItemsList,13))</f>
        <v/>
      </c>
      <c r="C994" s="7"/>
      <c r="D994" s="7"/>
    </row>
    <row r="995" customFormat="false" ht="15" hidden="false" customHeight="false" outlineLevel="0" collapsed="false">
      <c r="A995" s="6" t="str">
        <f aca="false">IF('DATA UNIT'!$B51="","",'DATA UNIT'!$B51)</f>
        <v/>
      </c>
      <c r="B995" s="6" t="str">
        <f aca="false">IF($A995="","",INDEX(PlanningItemsList,14))</f>
        <v/>
      </c>
      <c r="C995" s="7"/>
      <c r="D995" s="7"/>
    </row>
    <row r="996" customFormat="false" ht="15" hidden="false" customHeight="false" outlineLevel="0" collapsed="false">
      <c r="A996" s="6" t="str">
        <f aca="false">IF('DATA UNIT'!$B51="","",'DATA UNIT'!$B51)</f>
        <v/>
      </c>
      <c r="B996" s="6" t="str">
        <f aca="false">IF($A996="","",INDEX(PlanningItemsList,15))</f>
        <v/>
      </c>
      <c r="C996" s="7"/>
      <c r="D996" s="7"/>
    </row>
    <row r="997" customFormat="false" ht="15" hidden="false" customHeight="false" outlineLevel="0" collapsed="false">
      <c r="A997" s="6" t="str">
        <f aca="false">IF('DATA UNIT'!$B51="","",'DATA UNIT'!$B51)</f>
        <v/>
      </c>
      <c r="B997" s="6" t="str">
        <f aca="false">IF($A997="","",INDEX(PlanningItemsList,16))</f>
        <v/>
      </c>
      <c r="C997" s="7"/>
      <c r="D997" s="7"/>
    </row>
    <row r="998" customFormat="false" ht="15" hidden="false" customHeight="false" outlineLevel="0" collapsed="false">
      <c r="A998" s="6" t="str">
        <f aca="false">IF('DATA UNIT'!$B51="","",'DATA UNIT'!$B51)</f>
        <v/>
      </c>
      <c r="B998" s="6" t="str">
        <f aca="false">IF($A998="","",INDEX(PlanningItemsList,17))</f>
        <v/>
      </c>
      <c r="C998" s="7"/>
      <c r="D998" s="7"/>
    </row>
    <row r="999" customFormat="false" ht="15" hidden="false" customHeight="false" outlineLevel="0" collapsed="false">
      <c r="A999" s="6" t="str">
        <f aca="false">IF('DATA UNIT'!$B51="","",'DATA UNIT'!$B51)</f>
        <v/>
      </c>
      <c r="B999" s="6" t="str">
        <f aca="false">IF($A999="","",INDEX(PlanningItemsList,18))</f>
        <v/>
      </c>
      <c r="C999" s="7"/>
      <c r="D999" s="7"/>
    </row>
    <row r="1000" customFormat="false" ht="15" hidden="false" customHeight="false" outlineLevel="0" collapsed="false">
      <c r="A1000" s="6" t="str">
        <f aca="false">IF('DATA UNIT'!$B51="","",'DATA UNIT'!$B51)</f>
        <v/>
      </c>
      <c r="B1000" s="6" t="str">
        <f aca="false">IF($A1000="","",INDEX(PlanningItemsList,19))</f>
        <v/>
      </c>
      <c r="C1000" s="7"/>
      <c r="D1000" s="7"/>
    </row>
    <row r="1001" customFormat="false" ht="15" hidden="false" customHeight="false" outlineLevel="0" collapsed="false">
      <c r="A1001" s="6" t="str">
        <f aca="false">IF('DATA UNIT'!$B51="","",'DATA UNIT'!$B51)</f>
        <v/>
      </c>
      <c r="B1001" s="6" t="str">
        <f aca="false">IF($A1001="","",INDEX(PlanningItemsList,20))</f>
        <v/>
      </c>
      <c r="C1001" s="7"/>
      <c r="D1001" s="7"/>
    </row>
    <row r="1002" customFormat="false" ht="15" hidden="false" customHeight="false" outlineLevel="0" collapsed="false">
      <c r="A1002" s="6" t="str">
        <f aca="false">IF('DATA UNIT'!$B52="","",'DATA UNIT'!$B52)</f>
        <v/>
      </c>
      <c r="B1002" s="6" t="str">
        <f aca="false">IF($A1002="","",INDEX(PlanningItemsList,1))</f>
        <v/>
      </c>
      <c r="C1002" s="7"/>
      <c r="D1002" s="7"/>
    </row>
    <row r="1003" customFormat="false" ht="15" hidden="false" customHeight="false" outlineLevel="0" collapsed="false">
      <c r="A1003" s="6" t="str">
        <f aca="false">IF('DATA UNIT'!$B52="","",'DATA UNIT'!$B52)</f>
        <v/>
      </c>
      <c r="B1003" s="6" t="str">
        <f aca="false">IF($A1003="","",INDEX(PlanningItemsList,2))</f>
        <v/>
      </c>
      <c r="C1003" s="7"/>
      <c r="D1003" s="7"/>
    </row>
    <row r="1004" customFormat="false" ht="15" hidden="false" customHeight="false" outlineLevel="0" collapsed="false">
      <c r="A1004" s="6" t="str">
        <f aca="false">IF('DATA UNIT'!$B52="","",'DATA UNIT'!$B52)</f>
        <v/>
      </c>
      <c r="B1004" s="6" t="str">
        <f aca="false">IF($A1004="","",INDEX(PlanningItemsList,3))</f>
        <v/>
      </c>
      <c r="C1004" s="7"/>
      <c r="D1004" s="7"/>
    </row>
    <row r="1005" customFormat="false" ht="15" hidden="false" customHeight="false" outlineLevel="0" collapsed="false">
      <c r="A1005" s="6" t="str">
        <f aca="false">IF('DATA UNIT'!$B52="","",'DATA UNIT'!$B52)</f>
        <v/>
      </c>
      <c r="B1005" s="6" t="str">
        <f aca="false">IF($A1005="","",INDEX(PlanningItemsList,4))</f>
        <v/>
      </c>
      <c r="C1005" s="7"/>
      <c r="D1005" s="7"/>
    </row>
    <row r="1006" customFormat="false" ht="15" hidden="false" customHeight="false" outlineLevel="0" collapsed="false">
      <c r="A1006" s="6" t="str">
        <f aca="false">IF('DATA UNIT'!$B52="","",'DATA UNIT'!$B52)</f>
        <v/>
      </c>
      <c r="B1006" s="6" t="str">
        <f aca="false">IF($A1006="","",INDEX(PlanningItemsList,5))</f>
        <v/>
      </c>
      <c r="C1006" s="7"/>
      <c r="D1006" s="7"/>
    </row>
    <row r="1007" customFormat="false" ht="15" hidden="false" customHeight="false" outlineLevel="0" collapsed="false">
      <c r="A1007" s="6" t="str">
        <f aca="false">IF('DATA UNIT'!$B52="","",'DATA UNIT'!$B52)</f>
        <v/>
      </c>
      <c r="B1007" s="6" t="str">
        <f aca="false">IF($A1007="","",INDEX(PlanningItemsList,6))</f>
        <v/>
      </c>
      <c r="C1007" s="7"/>
      <c r="D1007" s="7"/>
    </row>
    <row r="1008" customFormat="false" ht="15" hidden="false" customHeight="false" outlineLevel="0" collapsed="false">
      <c r="A1008" s="6" t="str">
        <f aca="false">IF('DATA UNIT'!$B52="","",'DATA UNIT'!$B52)</f>
        <v/>
      </c>
      <c r="B1008" s="6" t="str">
        <f aca="false">IF($A1008="","",INDEX(PlanningItemsList,7))</f>
        <v/>
      </c>
      <c r="C1008" s="7"/>
      <c r="D1008" s="7"/>
    </row>
    <row r="1009" customFormat="false" ht="15" hidden="false" customHeight="false" outlineLevel="0" collapsed="false">
      <c r="A1009" s="6" t="str">
        <f aca="false">IF('DATA UNIT'!$B52="","",'DATA UNIT'!$B52)</f>
        <v/>
      </c>
      <c r="B1009" s="6" t="str">
        <f aca="false">IF($A1009="","",INDEX(PlanningItemsList,8))</f>
        <v/>
      </c>
      <c r="C1009" s="7"/>
      <c r="D1009" s="7"/>
    </row>
    <row r="1010" customFormat="false" ht="15" hidden="false" customHeight="false" outlineLevel="0" collapsed="false">
      <c r="A1010" s="6" t="str">
        <f aca="false">IF('DATA UNIT'!$B52="","",'DATA UNIT'!$B52)</f>
        <v/>
      </c>
      <c r="B1010" s="6" t="str">
        <f aca="false">IF($A1010="","",INDEX(PlanningItemsList,9))</f>
        <v/>
      </c>
      <c r="C1010" s="7"/>
      <c r="D1010" s="7"/>
    </row>
    <row r="1011" customFormat="false" ht="15" hidden="false" customHeight="false" outlineLevel="0" collapsed="false">
      <c r="A1011" s="6" t="str">
        <f aca="false">IF('DATA UNIT'!$B52="","",'DATA UNIT'!$B52)</f>
        <v/>
      </c>
      <c r="B1011" s="6" t="str">
        <f aca="false">IF($A1011="","",INDEX(PlanningItemsList,10))</f>
        <v/>
      </c>
      <c r="C1011" s="7"/>
      <c r="D1011" s="7"/>
    </row>
    <row r="1012" customFormat="false" ht="15" hidden="false" customHeight="false" outlineLevel="0" collapsed="false">
      <c r="A1012" s="6" t="str">
        <f aca="false">IF('DATA UNIT'!$B52="","",'DATA UNIT'!$B52)</f>
        <v/>
      </c>
      <c r="B1012" s="6" t="str">
        <f aca="false">IF($A1012="","",INDEX(PlanningItemsList,11))</f>
        <v/>
      </c>
      <c r="C1012" s="7"/>
      <c r="D1012" s="7"/>
    </row>
    <row r="1013" customFormat="false" ht="15" hidden="false" customHeight="false" outlineLevel="0" collapsed="false">
      <c r="A1013" s="6" t="str">
        <f aca="false">IF('DATA UNIT'!$B52="","",'DATA UNIT'!$B52)</f>
        <v/>
      </c>
      <c r="B1013" s="6" t="str">
        <f aca="false">IF($A1013="","",INDEX(PlanningItemsList,12))</f>
        <v/>
      </c>
      <c r="C1013" s="7"/>
      <c r="D1013" s="7"/>
    </row>
    <row r="1014" customFormat="false" ht="15" hidden="false" customHeight="false" outlineLevel="0" collapsed="false">
      <c r="A1014" s="6" t="str">
        <f aca="false">IF('DATA UNIT'!$B52="","",'DATA UNIT'!$B52)</f>
        <v/>
      </c>
      <c r="B1014" s="6" t="str">
        <f aca="false">IF($A1014="","",INDEX(PlanningItemsList,13))</f>
        <v/>
      </c>
      <c r="C1014" s="7"/>
      <c r="D1014" s="7"/>
    </row>
    <row r="1015" customFormat="false" ht="15" hidden="false" customHeight="false" outlineLevel="0" collapsed="false">
      <c r="A1015" s="6" t="str">
        <f aca="false">IF('DATA UNIT'!$B52="","",'DATA UNIT'!$B52)</f>
        <v/>
      </c>
      <c r="B1015" s="6" t="str">
        <f aca="false">IF($A1015="","",INDEX(PlanningItemsList,14))</f>
        <v/>
      </c>
      <c r="C1015" s="7"/>
      <c r="D1015" s="7"/>
    </row>
    <row r="1016" customFormat="false" ht="15" hidden="false" customHeight="false" outlineLevel="0" collapsed="false">
      <c r="A1016" s="6" t="str">
        <f aca="false">IF('DATA UNIT'!$B52="","",'DATA UNIT'!$B52)</f>
        <v/>
      </c>
      <c r="B1016" s="6" t="str">
        <f aca="false">IF($A1016="","",INDEX(PlanningItemsList,15))</f>
        <v/>
      </c>
      <c r="C1016" s="7"/>
      <c r="D1016" s="7"/>
    </row>
    <row r="1017" customFormat="false" ht="15" hidden="false" customHeight="false" outlineLevel="0" collapsed="false">
      <c r="A1017" s="6" t="str">
        <f aca="false">IF('DATA UNIT'!$B52="","",'DATA UNIT'!$B52)</f>
        <v/>
      </c>
      <c r="B1017" s="6" t="str">
        <f aca="false">IF($A1017="","",INDEX(PlanningItemsList,16))</f>
        <v/>
      </c>
      <c r="C1017" s="7"/>
      <c r="D1017" s="7"/>
    </row>
    <row r="1018" customFormat="false" ht="15" hidden="false" customHeight="false" outlineLevel="0" collapsed="false">
      <c r="A1018" s="6" t="str">
        <f aca="false">IF('DATA UNIT'!$B52="","",'DATA UNIT'!$B52)</f>
        <v/>
      </c>
      <c r="B1018" s="6" t="str">
        <f aca="false">IF($A1018="","",INDEX(PlanningItemsList,17))</f>
        <v/>
      </c>
      <c r="C1018" s="7"/>
      <c r="D1018" s="7"/>
    </row>
    <row r="1019" customFormat="false" ht="15" hidden="false" customHeight="false" outlineLevel="0" collapsed="false">
      <c r="A1019" s="6" t="str">
        <f aca="false">IF('DATA UNIT'!$B52="","",'DATA UNIT'!$B52)</f>
        <v/>
      </c>
      <c r="B1019" s="6" t="str">
        <f aca="false">IF($A1019="","",INDEX(PlanningItemsList,18))</f>
        <v/>
      </c>
      <c r="C1019" s="7"/>
      <c r="D1019" s="7"/>
    </row>
    <row r="1020" customFormat="false" ht="15" hidden="false" customHeight="false" outlineLevel="0" collapsed="false">
      <c r="A1020" s="6" t="str">
        <f aca="false">IF('DATA UNIT'!$B52="","",'DATA UNIT'!$B52)</f>
        <v/>
      </c>
      <c r="B1020" s="6" t="str">
        <f aca="false">IF($A1020="","",INDEX(PlanningItemsList,19))</f>
        <v/>
      </c>
      <c r="C1020" s="7"/>
      <c r="D1020" s="7"/>
    </row>
    <row r="1021" customFormat="false" ht="15" hidden="false" customHeight="false" outlineLevel="0" collapsed="false">
      <c r="A1021" s="6" t="str">
        <f aca="false">IF('DATA UNIT'!$B52="","",'DATA UNIT'!$B52)</f>
        <v/>
      </c>
      <c r="B1021" s="6" t="str">
        <f aca="false">IF($A1021="","",INDEX(PlanningItemsList,20))</f>
        <v/>
      </c>
      <c r="C1021" s="7"/>
      <c r="D1021" s="7"/>
    </row>
    <row r="1022" customFormat="false" ht="15" hidden="false" customHeight="false" outlineLevel="0" collapsed="false">
      <c r="A1022" s="6" t="str">
        <f aca="false">IF('DATA UNIT'!$B53="","",'DATA UNIT'!$B53)</f>
        <v/>
      </c>
      <c r="B1022" s="6" t="str">
        <f aca="false">IF($A1022="","",INDEX(PlanningItemsList,1))</f>
        <v/>
      </c>
      <c r="C1022" s="7"/>
      <c r="D1022" s="7"/>
    </row>
    <row r="1023" customFormat="false" ht="15" hidden="false" customHeight="false" outlineLevel="0" collapsed="false">
      <c r="A1023" s="6" t="str">
        <f aca="false">IF('DATA UNIT'!$B53="","",'DATA UNIT'!$B53)</f>
        <v/>
      </c>
      <c r="B1023" s="6" t="str">
        <f aca="false">IF($A1023="","",INDEX(PlanningItemsList,2))</f>
        <v/>
      </c>
      <c r="C1023" s="7"/>
      <c r="D1023" s="7"/>
    </row>
    <row r="1024" customFormat="false" ht="15" hidden="false" customHeight="false" outlineLevel="0" collapsed="false">
      <c r="A1024" s="6" t="str">
        <f aca="false">IF('DATA UNIT'!$B53="","",'DATA UNIT'!$B53)</f>
        <v/>
      </c>
      <c r="B1024" s="6" t="str">
        <f aca="false">IF($A1024="","",INDEX(PlanningItemsList,3))</f>
        <v/>
      </c>
      <c r="C1024" s="7"/>
      <c r="D1024" s="7"/>
    </row>
    <row r="1025" customFormat="false" ht="15" hidden="false" customHeight="false" outlineLevel="0" collapsed="false">
      <c r="A1025" s="6" t="str">
        <f aca="false">IF('DATA UNIT'!$B53="","",'DATA UNIT'!$B53)</f>
        <v/>
      </c>
      <c r="B1025" s="6" t="str">
        <f aca="false">IF($A1025="","",INDEX(PlanningItemsList,4))</f>
        <v/>
      </c>
      <c r="C1025" s="7"/>
      <c r="D1025" s="7"/>
    </row>
    <row r="1026" customFormat="false" ht="15" hidden="false" customHeight="false" outlineLevel="0" collapsed="false">
      <c r="A1026" s="6" t="str">
        <f aca="false">IF('DATA UNIT'!$B53="","",'DATA UNIT'!$B53)</f>
        <v/>
      </c>
      <c r="B1026" s="6" t="str">
        <f aca="false">IF($A1026="","",INDEX(PlanningItemsList,5))</f>
        <v/>
      </c>
      <c r="C1026" s="7"/>
      <c r="D1026" s="7"/>
    </row>
    <row r="1027" customFormat="false" ht="15" hidden="false" customHeight="false" outlineLevel="0" collapsed="false">
      <c r="A1027" s="6" t="str">
        <f aca="false">IF('DATA UNIT'!$B53="","",'DATA UNIT'!$B53)</f>
        <v/>
      </c>
      <c r="B1027" s="6" t="str">
        <f aca="false">IF($A1027="","",INDEX(PlanningItemsList,6))</f>
        <v/>
      </c>
      <c r="C1027" s="7"/>
      <c r="D1027" s="7"/>
    </row>
    <row r="1028" customFormat="false" ht="15" hidden="false" customHeight="false" outlineLevel="0" collapsed="false">
      <c r="A1028" s="6" t="str">
        <f aca="false">IF('DATA UNIT'!$B53="","",'DATA UNIT'!$B53)</f>
        <v/>
      </c>
      <c r="B1028" s="6" t="str">
        <f aca="false">IF($A1028="","",INDEX(PlanningItemsList,7))</f>
        <v/>
      </c>
      <c r="C1028" s="7"/>
      <c r="D1028" s="7"/>
    </row>
    <row r="1029" customFormat="false" ht="15" hidden="false" customHeight="false" outlineLevel="0" collapsed="false">
      <c r="A1029" s="6" t="str">
        <f aca="false">IF('DATA UNIT'!$B53="","",'DATA UNIT'!$B53)</f>
        <v/>
      </c>
      <c r="B1029" s="6" t="str">
        <f aca="false">IF($A1029="","",INDEX(PlanningItemsList,8))</f>
        <v/>
      </c>
      <c r="C1029" s="7"/>
      <c r="D1029" s="7"/>
    </row>
    <row r="1030" customFormat="false" ht="15" hidden="false" customHeight="false" outlineLevel="0" collapsed="false">
      <c r="A1030" s="6" t="str">
        <f aca="false">IF('DATA UNIT'!$B53="","",'DATA UNIT'!$B53)</f>
        <v/>
      </c>
      <c r="B1030" s="6" t="str">
        <f aca="false">IF($A1030="","",INDEX(PlanningItemsList,9))</f>
        <v/>
      </c>
      <c r="C1030" s="7"/>
      <c r="D1030" s="7"/>
    </row>
    <row r="1031" customFormat="false" ht="15" hidden="false" customHeight="false" outlineLevel="0" collapsed="false">
      <c r="A1031" s="6" t="str">
        <f aca="false">IF('DATA UNIT'!$B53="","",'DATA UNIT'!$B53)</f>
        <v/>
      </c>
      <c r="B1031" s="6" t="str">
        <f aca="false">IF($A1031="","",INDEX(PlanningItemsList,10))</f>
        <v/>
      </c>
      <c r="C1031" s="7"/>
      <c r="D1031" s="7"/>
    </row>
    <row r="1032" customFormat="false" ht="15" hidden="false" customHeight="false" outlineLevel="0" collapsed="false">
      <c r="A1032" s="6" t="str">
        <f aca="false">IF('DATA UNIT'!$B53="","",'DATA UNIT'!$B53)</f>
        <v/>
      </c>
      <c r="B1032" s="6" t="str">
        <f aca="false">IF($A1032="","",INDEX(PlanningItemsList,11))</f>
        <v/>
      </c>
      <c r="C1032" s="7"/>
      <c r="D1032" s="7"/>
    </row>
    <row r="1033" customFormat="false" ht="15" hidden="false" customHeight="false" outlineLevel="0" collapsed="false">
      <c r="A1033" s="6" t="str">
        <f aca="false">IF('DATA UNIT'!$B53="","",'DATA UNIT'!$B53)</f>
        <v/>
      </c>
      <c r="B1033" s="6" t="str">
        <f aca="false">IF($A1033="","",INDEX(PlanningItemsList,12))</f>
        <v/>
      </c>
      <c r="C1033" s="7"/>
      <c r="D1033" s="7"/>
    </row>
    <row r="1034" customFormat="false" ht="15" hidden="false" customHeight="false" outlineLevel="0" collapsed="false">
      <c r="A1034" s="6" t="str">
        <f aca="false">IF('DATA UNIT'!$B53="","",'DATA UNIT'!$B53)</f>
        <v/>
      </c>
      <c r="B1034" s="6" t="str">
        <f aca="false">IF($A1034="","",INDEX(PlanningItemsList,13))</f>
        <v/>
      </c>
      <c r="C1034" s="7"/>
      <c r="D1034" s="7"/>
    </row>
    <row r="1035" customFormat="false" ht="15" hidden="false" customHeight="false" outlineLevel="0" collapsed="false">
      <c r="A1035" s="6" t="str">
        <f aca="false">IF('DATA UNIT'!$B53="","",'DATA UNIT'!$B53)</f>
        <v/>
      </c>
      <c r="B1035" s="6" t="str">
        <f aca="false">IF($A1035="","",INDEX(PlanningItemsList,14))</f>
        <v/>
      </c>
      <c r="C1035" s="7"/>
      <c r="D1035" s="7"/>
    </row>
    <row r="1036" customFormat="false" ht="15" hidden="false" customHeight="false" outlineLevel="0" collapsed="false">
      <c r="A1036" s="6" t="str">
        <f aca="false">IF('DATA UNIT'!$B53="","",'DATA UNIT'!$B53)</f>
        <v/>
      </c>
      <c r="B1036" s="6" t="str">
        <f aca="false">IF($A1036="","",INDEX(PlanningItemsList,15))</f>
        <v/>
      </c>
      <c r="C1036" s="7"/>
      <c r="D1036" s="7"/>
    </row>
    <row r="1037" customFormat="false" ht="15" hidden="false" customHeight="false" outlineLevel="0" collapsed="false">
      <c r="A1037" s="6" t="str">
        <f aca="false">IF('DATA UNIT'!$B53="","",'DATA UNIT'!$B53)</f>
        <v/>
      </c>
      <c r="B1037" s="6" t="str">
        <f aca="false">IF($A1037="","",INDEX(PlanningItemsList,16))</f>
        <v/>
      </c>
      <c r="C1037" s="7"/>
      <c r="D1037" s="7"/>
    </row>
    <row r="1038" customFormat="false" ht="15" hidden="false" customHeight="false" outlineLevel="0" collapsed="false">
      <c r="A1038" s="6" t="str">
        <f aca="false">IF('DATA UNIT'!$B53="","",'DATA UNIT'!$B53)</f>
        <v/>
      </c>
      <c r="B1038" s="6" t="str">
        <f aca="false">IF($A1038="","",INDEX(PlanningItemsList,17))</f>
        <v/>
      </c>
      <c r="C1038" s="7"/>
      <c r="D1038" s="7"/>
    </row>
    <row r="1039" customFormat="false" ht="15" hidden="false" customHeight="false" outlineLevel="0" collapsed="false">
      <c r="A1039" s="6" t="str">
        <f aca="false">IF('DATA UNIT'!$B53="","",'DATA UNIT'!$B53)</f>
        <v/>
      </c>
      <c r="B1039" s="6" t="str">
        <f aca="false">IF($A1039="","",INDEX(PlanningItemsList,18))</f>
        <v/>
      </c>
      <c r="C1039" s="7"/>
      <c r="D1039" s="7"/>
    </row>
    <row r="1040" customFormat="false" ht="15" hidden="false" customHeight="false" outlineLevel="0" collapsed="false">
      <c r="A1040" s="6" t="str">
        <f aca="false">IF('DATA UNIT'!$B53="","",'DATA UNIT'!$B53)</f>
        <v/>
      </c>
      <c r="B1040" s="6" t="str">
        <f aca="false">IF($A1040="","",INDEX(PlanningItemsList,19))</f>
        <v/>
      </c>
      <c r="C1040" s="7"/>
      <c r="D1040" s="7"/>
    </row>
    <row r="1041" customFormat="false" ht="15" hidden="false" customHeight="false" outlineLevel="0" collapsed="false">
      <c r="A1041" s="6" t="str">
        <f aca="false">IF('DATA UNIT'!$B53="","",'DATA UNIT'!$B53)</f>
        <v/>
      </c>
      <c r="B1041" s="6" t="str">
        <f aca="false">IF($A1041="","",INDEX(PlanningItemsList,20))</f>
        <v/>
      </c>
      <c r="C1041" s="7"/>
      <c r="D1041" s="7"/>
    </row>
    <row r="1042" customFormat="false" ht="15" hidden="false" customHeight="false" outlineLevel="0" collapsed="false">
      <c r="A1042" s="6" t="str">
        <f aca="false">IF('DATA UNIT'!$B54="","",'DATA UNIT'!$B54)</f>
        <v/>
      </c>
      <c r="B1042" s="6" t="str">
        <f aca="false">IF($A1042="","",INDEX(PlanningItemsList,1))</f>
        <v/>
      </c>
      <c r="C1042" s="7"/>
      <c r="D1042" s="7"/>
    </row>
    <row r="1043" customFormat="false" ht="15" hidden="false" customHeight="false" outlineLevel="0" collapsed="false">
      <c r="A1043" s="6" t="str">
        <f aca="false">IF('DATA UNIT'!$B54="","",'DATA UNIT'!$B54)</f>
        <v/>
      </c>
      <c r="B1043" s="6" t="str">
        <f aca="false">IF($A1043="","",INDEX(PlanningItemsList,2))</f>
        <v/>
      </c>
      <c r="C1043" s="7"/>
      <c r="D1043" s="7"/>
    </row>
    <row r="1044" customFormat="false" ht="15" hidden="false" customHeight="false" outlineLevel="0" collapsed="false">
      <c r="A1044" s="6" t="str">
        <f aca="false">IF('DATA UNIT'!$B54="","",'DATA UNIT'!$B54)</f>
        <v/>
      </c>
      <c r="B1044" s="6" t="str">
        <f aca="false">IF($A1044="","",INDEX(PlanningItemsList,3))</f>
        <v/>
      </c>
      <c r="C1044" s="7"/>
      <c r="D1044" s="7"/>
    </row>
    <row r="1045" customFormat="false" ht="15" hidden="false" customHeight="false" outlineLevel="0" collapsed="false">
      <c r="A1045" s="6" t="str">
        <f aca="false">IF('DATA UNIT'!$B54="","",'DATA UNIT'!$B54)</f>
        <v/>
      </c>
      <c r="B1045" s="6" t="str">
        <f aca="false">IF($A1045="","",INDEX(PlanningItemsList,4))</f>
        <v/>
      </c>
      <c r="C1045" s="7"/>
      <c r="D1045" s="7"/>
    </row>
    <row r="1046" customFormat="false" ht="15" hidden="false" customHeight="false" outlineLevel="0" collapsed="false">
      <c r="A1046" s="6" t="str">
        <f aca="false">IF('DATA UNIT'!$B54="","",'DATA UNIT'!$B54)</f>
        <v/>
      </c>
      <c r="B1046" s="6" t="str">
        <f aca="false">IF($A1046="","",INDEX(PlanningItemsList,5))</f>
        <v/>
      </c>
      <c r="C1046" s="7"/>
      <c r="D1046" s="7"/>
    </row>
    <row r="1047" customFormat="false" ht="15" hidden="false" customHeight="false" outlineLevel="0" collapsed="false">
      <c r="A1047" s="6" t="str">
        <f aca="false">IF('DATA UNIT'!$B54="","",'DATA UNIT'!$B54)</f>
        <v/>
      </c>
      <c r="B1047" s="6" t="str">
        <f aca="false">IF($A1047="","",INDEX(PlanningItemsList,6))</f>
        <v/>
      </c>
      <c r="C1047" s="7"/>
      <c r="D1047" s="7"/>
    </row>
    <row r="1048" customFormat="false" ht="15" hidden="false" customHeight="false" outlineLevel="0" collapsed="false">
      <c r="A1048" s="6" t="str">
        <f aca="false">IF('DATA UNIT'!$B54="","",'DATA UNIT'!$B54)</f>
        <v/>
      </c>
      <c r="B1048" s="6" t="str">
        <f aca="false">IF($A1048="","",INDEX(PlanningItemsList,7))</f>
        <v/>
      </c>
      <c r="C1048" s="7"/>
      <c r="D1048" s="7"/>
    </row>
    <row r="1049" customFormat="false" ht="15" hidden="false" customHeight="false" outlineLevel="0" collapsed="false">
      <c r="A1049" s="6" t="str">
        <f aca="false">IF('DATA UNIT'!$B54="","",'DATA UNIT'!$B54)</f>
        <v/>
      </c>
      <c r="B1049" s="6" t="str">
        <f aca="false">IF($A1049="","",INDEX(PlanningItemsList,8))</f>
        <v/>
      </c>
      <c r="C1049" s="7"/>
      <c r="D1049" s="7"/>
    </row>
    <row r="1050" customFormat="false" ht="15" hidden="false" customHeight="false" outlineLevel="0" collapsed="false">
      <c r="A1050" s="6" t="str">
        <f aca="false">IF('DATA UNIT'!$B54="","",'DATA UNIT'!$B54)</f>
        <v/>
      </c>
      <c r="B1050" s="6" t="str">
        <f aca="false">IF($A1050="","",INDEX(PlanningItemsList,9))</f>
        <v/>
      </c>
      <c r="C1050" s="7"/>
      <c r="D1050" s="7"/>
    </row>
    <row r="1051" customFormat="false" ht="15" hidden="false" customHeight="false" outlineLevel="0" collapsed="false">
      <c r="A1051" s="6" t="str">
        <f aca="false">IF('DATA UNIT'!$B54="","",'DATA UNIT'!$B54)</f>
        <v/>
      </c>
      <c r="B1051" s="6" t="str">
        <f aca="false">IF($A1051="","",INDEX(PlanningItemsList,10))</f>
        <v/>
      </c>
      <c r="C1051" s="7"/>
      <c r="D1051" s="7"/>
    </row>
    <row r="1052" customFormat="false" ht="15" hidden="false" customHeight="false" outlineLevel="0" collapsed="false">
      <c r="A1052" s="6" t="str">
        <f aca="false">IF('DATA UNIT'!$B54="","",'DATA UNIT'!$B54)</f>
        <v/>
      </c>
      <c r="B1052" s="6" t="str">
        <f aca="false">IF($A1052="","",INDEX(PlanningItemsList,11))</f>
        <v/>
      </c>
      <c r="C1052" s="7"/>
      <c r="D1052" s="7"/>
    </row>
    <row r="1053" customFormat="false" ht="15" hidden="false" customHeight="false" outlineLevel="0" collapsed="false">
      <c r="A1053" s="6" t="str">
        <f aca="false">IF('DATA UNIT'!$B54="","",'DATA UNIT'!$B54)</f>
        <v/>
      </c>
      <c r="B1053" s="6" t="str">
        <f aca="false">IF($A1053="","",INDEX(PlanningItemsList,12))</f>
        <v/>
      </c>
      <c r="C1053" s="7"/>
      <c r="D1053" s="7"/>
    </row>
    <row r="1054" customFormat="false" ht="15" hidden="false" customHeight="false" outlineLevel="0" collapsed="false">
      <c r="A1054" s="6" t="str">
        <f aca="false">IF('DATA UNIT'!$B54="","",'DATA UNIT'!$B54)</f>
        <v/>
      </c>
      <c r="B1054" s="6" t="str">
        <f aca="false">IF($A1054="","",INDEX(PlanningItemsList,13))</f>
        <v/>
      </c>
      <c r="C1054" s="7"/>
      <c r="D1054" s="7"/>
    </row>
    <row r="1055" customFormat="false" ht="15" hidden="false" customHeight="false" outlineLevel="0" collapsed="false">
      <c r="A1055" s="6" t="str">
        <f aca="false">IF('DATA UNIT'!$B54="","",'DATA UNIT'!$B54)</f>
        <v/>
      </c>
      <c r="B1055" s="6" t="str">
        <f aca="false">IF($A1055="","",INDEX(PlanningItemsList,14))</f>
        <v/>
      </c>
      <c r="C1055" s="7"/>
      <c r="D1055" s="7"/>
    </row>
    <row r="1056" customFormat="false" ht="15" hidden="false" customHeight="false" outlineLevel="0" collapsed="false">
      <c r="A1056" s="6" t="str">
        <f aca="false">IF('DATA UNIT'!$B54="","",'DATA UNIT'!$B54)</f>
        <v/>
      </c>
      <c r="B1056" s="6" t="str">
        <f aca="false">IF($A1056="","",INDEX(PlanningItemsList,15))</f>
        <v/>
      </c>
      <c r="C1056" s="7"/>
      <c r="D1056" s="7"/>
    </row>
    <row r="1057" customFormat="false" ht="15" hidden="false" customHeight="false" outlineLevel="0" collapsed="false">
      <c r="A1057" s="6" t="str">
        <f aca="false">IF('DATA UNIT'!$B54="","",'DATA UNIT'!$B54)</f>
        <v/>
      </c>
      <c r="B1057" s="6" t="str">
        <f aca="false">IF($A1057="","",INDEX(PlanningItemsList,16))</f>
        <v/>
      </c>
      <c r="C1057" s="7"/>
      <c r="D1057" s="7"/>
    </row>
    <row r="1058" customFormat="false" ht="15" hidden="false" customHeight="false" outlineLevel="0" collapsed="false">
      <c r="A1058" s="6" t="str">
        <f aca="false">IF('DATA UNIT'!$B54="","",'DATA UNIT'!$B54)</f>
        <v/>
      </c>
      <c r="B1058" s="6" t="str">
        <f aca="false">IF($A1058="","",INDEX(PlanningItemsList,17))</f>
        <v/>
      </c>
      <c r="C1058" s="7"/>
      <c r="D1058" s="7"/>
    </row>
    <row r="1059" customFormat="false" ht="15" hidden="false" customHeight="false" outlineLevel="0" collapsed="false">
      <c r="A1059" s="6" t="str">
        <f aca="false">IF('DATA UNIT'!$B54="","",'DATA UNIT'!$B54)</f>
        <v/>
      </c>
      <c r="B1059" s="6" t="str">
        <f aca="false">IF($A1059="","",INDEX(PlanningItemsList,18))</f>
        <v/>
      </c>
      <c r="C1059" s="7"/>
      <c r="D1059" s="7"/>
    </row>
    <row r="1060" customFormat="false" ht="15" hidden="false" customHeight="false" outlineLevel="0" collapsed="false">
      <c r="A1060" s="6" t="str">
        <f aca="false">IF('DATA UNIT'!$B54="","",'DATA UNIT'!$B54)</f>
        <v/>
      </c>
      <c r="B1060" s="6" t="str">
        <f aca="false">IF($A1060="","",INDEX(PlanningItemsList,19))</f>
        <v/>
      </c>
      <c r="C1060" s="7"/>
      <c r="D1060" s="7"/>
    </row>
    <row r="1061" customFormat="false" ht="15" hidden="false" customHeight="false" outlineLevel="0" collapsed="false">
      <c r="A1061" s="6" t="str">
        <f aca="false">IF('DATA UNIT'!$B54="","",'DATA UNIT'!$B54)</f>
        <v/>
      </c>
      <c r="B1061" s="6" t="str">
        <f aca="false">IF($A1061="","",INDEX(PlanningItemsList,20))</f>
        <v/>
      </c>
      <c r="C1061" s="7"/>
      <c r="D1061" s="7"/>
    </row>
    <row r="1062" customFormat="false" ht="15" hidden="false" customHeight="false" outlineLevel="0" collapsed="false">
      <c r="A1062" s="6" t="str">
        <f aca="false">IF('DATA UNIT'!$B55="","",'DATA UNIT'!$B55)</f>
        <v/>
      </c>
      <c r="B1062" s="6" t="str">
        <f aca="false">IF($A1062="","",INDEX(PlanningItemsList,1))</f>
        <v/>
      </c>
      <c r="C1062" s="7"/>
      <c r="D1062" s="7"/>
    </row>
    <row r="1063" customFormat="false" ht="15" hidden="false" customHeight="false" outlineLevel="0" collapsed="false">
      <c r="A1063" s="6" t="str">
        <f aca="false">IF('DATA UNIT'!$B55="","",'DATA UNIT'!$B55)</f>
        <v/>
      </c>
      <c r="B1063" s="6" t="str">
        <f aca="false">IF($A1063="","",INDEX(PlanningItemsList,2))</f>
        <v/>
      </c>
      <c r="C1063" s="7"/>
      <c r="D1063" s="7"/>
    </row>
    <row r="1064" customFormat="false" ht="15" hidden="false" customHeight="false" outlineLevel="0" collapsed="false">
      <c r="A1064" s="6" t="str">
        <f aca="false">IF('DATA UNIT'!$B55="","",'DATA UNIT'!$B55)</f>
        <v/>
      </c>
      <c r="B1064" s="6" t="str">
        <f aca="false">IF($A1064="","",INDEX(PlanningItemsList,3))</f>
        <v/>
      </c>
      <c r="C1064" s="7"/>
      <c r="D1064" s="7"/>
    </row>
    <row r="1065" customFormat="false" ht="15" hidden="false" customHeight="false" outlineLevel="0" collapsed="false">
      <c r="A1065" s="6" t="str">
        <f aca="false">IF('DATA UNIT'!$B55="","",'DATA UNIT'!$B55)</f>
        <v/>
      </c>
      <c r="B1065" s="6" t="str">
        <f aca="false">IF($A1065="","",INDEX(PlanningItemsList,4))</f>
        <v/>
      </c>
      <c r="C1065" s="7"/>
      <c r="D1065" s="7"/>
    </row>
    <row r="1066" customFormat="false" ht="15" hidden="false" customHeight="false" outlineLevel="0" collapsed="false">
      <c r="A1066" s="6" t="str">
        <f aca="false">IF('DATA UNIT'!$B55="","",'DATA UNIT'!$B55)</f>
        <v/>
      </c>
      <c r="B1066" s="6" t="str">
        <f aca="false">IF($A1066="","",INDEX(PlanningItemsList,5))</f>
        <v/>
      </c>
      <c r="C1066" s="7"/>
      <c r="D1066" s="7"/>
    </row>
    <row r="1067" customFormat="false" ht="15" hidden="false" customHeight="false" outlineLevel="0" collapsed="false">
      <c r="A1067" s="6" t="str">
        <f aca="false">IF('DATA UNIT'!$B55="","",'DATA UNIT'!$B55)</f>
        <v/>
      </c>
      <c r="B1067" s="6" t="str">
        <f aca="false">IF($A1067="","",INDEX(PlanningItemsList,6))</f>
        <v/>
      </c>
      <c r="C1067" s="7"/>
      <c r="D1067" s="7"/>
    </row>
    <row r="1068" customFormat="false" ht="15" hidden="false" customHeight="false" outlineLevel="0" collapsed="false">
      <c r="A1068" s="6" t="str">
        <f aca="false">IF('DATA UNIT'!$B55="","",'DATA UNIT'!$B55)</f>
        <v/>
      </c>
      <c r="B1068" s="6" t="str">
        <f aca="false">IF($A1068="","",INDEX(PlanningItemsList,7))</f>
        <v/>
      </c>
      <c r="C1068" s="7"/>
      <c r="D1068" s="7"/>
    </row>
    <row r="1069" customFormat="false" ht="15" hidden="false" customHeight="false" outlineLevel="0" collapsed="false">
      <c r="A1069" s="6" t="str">
        <f aca="false">IF('DATA UNIT'!$B55="","",'DATA UNIT'!$B55)</f>
        <v/>
      </c>
      <c r="B1069" s="6" t="str">
        <f aca="false">IF($A1069="","",INDEX(PlanningItemsList,8))</f>
        <v/>
      </c>
      <c r="C1069" s="7"/>
      <c r="D1069" s="7"/>
    </row>
    <row r="1070" customFormat="false" ht="15" hidden="false" customHeight="false" outlineLevel="0" collapsed="false">
      <c r="A1070" s="6" t="str">
        <f aca="false">IF('DATA UNIT'!$B55="","",'DATA UNIT'!$B55)</f>
        <v/>
      </c>
      <c r="B1070" s="6" t="str">
        <f aca="false">IF($A1070="","",INDEX(PlanningItemsList,9))</f>
        <v/>
      </c>
      <c r="C1070" s="7"/>
      <c r="D1070" s="7"/>
    </row>
    <row r="1071" customFormat="false" ht="15" hidden="false" customHeight="false" outlineLevel="0" collapsed="false">
      <c r="A1071" s="6" t="str">
        <f aca="false">IF('DATA UNIT'!$B55="","",'DATA UNIT'!$B55)</f>
        <v/>
      </c>
      <c r="B1071" s="6" t="str">
        <f aca="false">IF($A1071="","",INDEX(PlanningItemsList,10))</f>
        <v/>
      </c>
      <c r="C1071" s="7"/>
      <c r="D1071" s="7"/>
    </row>
    <row r="1072" customFormat="false" ht="15" hidden="false" customHeight="false" outlineLevel="0" collapsed="false">
      <c r="A1072" s="6" t="str">
        <f aca="false">IF('DATA UNIT'!$B55="","",'DATA UNIT'!$B55)</f>
        <v/>
      </c>
      <c r="B1072" s="6" t="str">
        <f aca="false">IF($A1072="","",INDEX(PlanningItemsList,11))</f>
        <v/>
      </c>
      <c r="C1072" s="7"/>
      <c r="D1072" s="7"/>
    </row>
    <row r="1073" customFormat="false" ht="15" hidden="false" customHeight="false" outlineLevel="0" collapsed="false">
      <c r="A1073" s="6" t="str">
        <f aca="false">IF('DATA UNIT'!$B55="","",'DATA UNIT'!$B55)</f>
        <v/>
      </c>
      <c r="B1073" s="6" t="str">
        <f aca="false">IF($A1073="","",INDEX(PlanningItemsList,12))</f>
        <v/>
      </c>
      <c r="C1073" s="7"/>
      <c r="D1073" s="7"/>
    </row>
    <row r="1074" customFormat="false" ht="15" hidden="false" customHeight="false" outlineLevel="0" collapsed="false">
      <c r="A1074" s="6" t="str">
        <f aca="false">IF('DATA UNIT'!$B55="","",'DATA UNIT'!$B55)</f>
        <v/>
      </c>
      <c r="B1074" s="6" t="str">
        <f aca="false">IF($A1074="","",INDEX(PlanningItemsList,13))</f>
        <v/>
      </c>
      <c r="C1074" s="7"/>
      <c r="D1074" s="7"/>
    </row>
    <row r="1075" customFormat="false" ht="15" hidden="false" customHeight="false" outlineLevel="0" collapsed="false">
      <c r="A1075" s="6" t="str">
        <f aca="false">IF('DATA UNIT'!$B55="","",'DATA UNIT'!$B55)</f>
        <v/>
      </c>
      <c r="B1075" s="6" t="str">
        <f aca="false">IF($A1075="","",INDEX(PlanningItemsList,14))</f>
        <v/>
      </c>
      <c r="C1075" s="7"/>
      <c r="D1075" s="7"/>
    </row>
    <row r="1076" customFormat="false" ht="15" hidden="false" customHeight="false" outlineLevel="0" collapsed="false">
      <c r="A1076" s="6" t="str">
        <f aca="false">IF('DATA UNIT'!$B55="","",'DATA UNIT'!$B55)</f>
        <v/>
      </c>
      <c r="B1076" s="6" t="str">
        <f aca="false">IF($A1076="","",INDEX(PlanningItemsList,15))</f>
        <v/>
      </c>
      <c r="C1076" s="7"/>
      <c r="D1076" s="7"/>
    </row>
    <row r="1077" customFormat="false" ht="15" hidden="false" customHeight="false" outlineLevel="0" collapsed="false">
      <c r="A1077" s="6" t="str">
        <f aca="false">IF('DATA UNIT'!$B55="","",'DATA UNIT'!$B55)</f>
        <v/>
      </c>
      <c r="B1077" s="6" t="str">
        <f aca="false">IF($A1077="","",INDEX(PlanningItemsList,16))</f>
        <v/>
      </c>
      <c r="C1077" s="7"/>
      <c r="D1077" s="7"/>
    </row>
    <row r="1078" customFormat="false" ht="15" hidden="false" customHeight="false" outlineLevel="0" collapsed="false">
      <c r="A1078" s="6" t="str">
        <f aca="false">IF('DATA UNIT'!$B55="","",'DATA UNIT'!$B55)</f>
        <v/>
      </c>
      <c r="B1078" s="6" t="str">
        <f aca="false">IF($A1078="","",INDEX(PlanningItemsList,17))</f>
        <v/>
      </c>
      <c r="C1078" s="7"/>
      <c r="D1078" s="7"/>
    </row>
    <row r="1079" customFormat="false" ht="15" hidden="false" customHeight="false" outlineLevel="0" collapsed="false">
      <c r="A1079" s="6" t="str">
        <f aca="false">IF('DATA UNIT'!$B55="","",'DATA UNIT'!$B55)</f>
        <v/>
      </c>
      <c r="B1079" s="6" t="str">
        <f aca="false">IF($A1079="","",INDEX(PlanningItemsList,18))</f>
        <v/>
      </c>
      <c r="C1079" s="7"/>
      <c r="D1079" s="7"/>
    </row>
    <row r="1080" customFormat="false" ht="15" hidden="false" customHeight="false" outlineLevel="0" collapsed="false">
      <c r="A1080" s="6" t="str">
        <f aca="false">IF('DATA UNIT'!$B55="","",'DATA UNIT'!$B55)</f>
        <v/>
      </c>
      <c r="B1080" s="6" t="str">
        <f aca="false">IF($A1080="","",INDEX(PlanningItemsList,19))</f>
        <v/>
      </c>
      <c r="C1080" s="7"/>
      <c r="D1080" s="7"/>
    </row>
    <row r="1081" customFormat="false" ht="15" hidden="false" customHeight="false" outlineLevel="0" collapsed="false">
      <c r="A1081" s="6" t="str">
        <f aca="false">IF('DATA UNIT'!$B55="","",'DATA UNIT'!$B55)</f>
        <v/>
      </c>
      <c r="B1081" s="6" t="str">
        <f aca="false">IF($A1081="","",INDEX(PlanningItemsList,20))</f>
        <v/>
      </c>
      <c r="C1081" s="7"/>
      <c r="D1081" s="7"/>
    </row>
    <row r="1082" customFormat="false" ht="15" hidden="false" customHeight="false" outlineLevel="0" collapsed="false">
      <c r="A1082" s="6" t="str">
        <f aca="false">IF('DATA UNIT'!$B56="","",'DATA UNIT'!$B56)</f>
        <v/>
      </c>
      <c r="B1082" s="6" t="str">
        <f aca="false">IF($A1082="","",INDEX(PlanningItemsList,1))</f>
        <v/>
      </c>
      <c r="C1082" s="7"/>
      <c r="D1082" s="7"/>
    </row>
    <row r="1083" customFormat="false" ht="15" hidden="false" customHeight="false" outlineLevel="0" collapsed="false">
      <c r="A1083" s="6" t="str">
        <f aca="false">IF('DATA UNIT'!$B56="","",'DATA UNIT'!$B56)</f>
        <v/>
      </c>
      <c r="B1083" s="6" t="str">
        <f aca="false">IF($A1083="","",INDEX(PlanningItemsList,2))</f>
        <v/>
      </c>
      <c r="C1083" s="7"/>
      <c r="D1083" s="7"/>
    </row>
    <row r="1084" customFormat="false" ht="15" hidden="false" customHeight="false" outlineLevel="0" collapsed="false">
      <c r="A1084" s="6" t="str">
        <f aca="false">IF('DATA UNIT'!$B56="","",'DATA UNIT'!$B56)</f>
        <v/>
      </c>
      <c r="B1084" s="6" t="str">
        <f aca="false">IF($A1084="","",INDEX(PlanningItemsList,3))</f>
        <v/>
      </c>
      <c r="C1084" s="7"/>
      <c r="D1084" s="7"/>
    </row>
    <row r="1085" customFormat="false" ht="15" hidden="false" customHeight="false" outlineLevel="0" collapsed="false">
      <c r="A1085" s="6" t="str">
        <f aca="false">IF('DATA UNIT'!$B56="","",'DATA UNIT'!$B56)</f>
        <v/>
      </c>
      <c r="B1085" s="6" t="str">
        <f aca="false">IF($A1085="","",INDEX(PlanningItemsList,4))</f>
        <v/>
      </c>
      <c r="C1085" s="7"/>
      <c r="D1085" s="7"/>
    </row>
    <row r="1086" customFormat="false" ht="15" hidden="false" customHeight="false" outlineLevel="0" collapsed="false">
      <c r="A1086" s="6" t="str">
        <f aca="false">IF('DATA UNIT'!$B56="","",'DATA UNIT'!$B56)</f>
        <v/>
      </c>
      <c r="B1086" s="6" t="str">
        <f aca="false">IF($A1086="","",INDEX(PlanningItemsList,5))</f>
        <v/>
      </c>
      <c r="C1086" s="7"/>
      <c r="D1086" s="7"/>
    </row>
    <row r="1087" customFormat="false" ht="15" hidden="false" customHeight="false" outlineLevel="0" collapsed="false">
      <c r="A1087" s="6" t="str">
        <f aca="false">IF('DATA UNIT'!$B56="","",'DATA UNIT'!$B56)</f>
        <v/>
      </c>
      <c r="B1087" s="6" t="str">
        <f aca="false">IF($A1087="","",INDEX(PlanningItemsList,6))</f>
        <v/>
      </c>
      <c r="C1087" s="7"/>
      <c r="D1087" s="7"/>
    </row>
    <row r="1088" customFormat="false" ht="15" hidden="false" customHeight="false" outlineLevel="0" collapsed="false">
      <c r="A1088" s="6" t="str">
        <f aca="false">IF('DATA UNIT'!$B56="","",'DATA UNIT'!$B56)</f>
        <v/>
      </c>
      <c r="B1088" s="6" t="str">
        <f aca="false">IF($A1088="","",INDEX(PlanningItemsList,7))</f>
        <v/>
      </c>
      <c r="C1088" s="7"/>
      <c r="D1088" s="7"/>
    </row>
    <row r="1089" customFormat="false" ht="15" hidden="false" customHeight="false" outlineLevel="0" collapsed="false">
      <c r="A1089" s="6" t="str">
        <f aca="false">IF('DATA UNIT'!$B56="","",'DATA UNIT'!$B56)</f>
        <v/>
      </c>
      <c r="B1089" s="6" t="str">
        <f aca="false">IF($A1089="","",INDEX(PlanningItemsList,8))</f>
        <v/>
      </c>
      <c r="C1089" s="7"/>
      <c r="D1089" s="7"/>
    </row>
    <row r="1090" customFormat="false" ht="15" hidden="false" customHeight="false" outlineLevel="0" collapsed="false">
      <c r="A1090" s="6" t="str">
        <f aca="false">IF('DATA UNIT'!$B56="","",'DATA UNIT'!$B56)</f>
        <v/>
      </c>
      <c r="B1090" s="6" t="str">
        <f aca="false">IF($A1090="","",INDEX(PlanningItemsList,9))</f>
        <v/>
      </c>
      <c r="C1090" s="7"/>
      <c r="D1090" s="7"/>
    </row>
    <row r="1091" customFormat="false" ht="15" hidden="false" customHeight="false" outlineLevel="0" collapsed="false">
      <c r="A1091" s="6" t="str">
        <f aca="false">IF('DATA UNIT'!$B56="","",'DATA UNIT'!$B56)</f>
        <v/>
      </c>
      <c r="B1091" s="6" t="str">
        <f aca="false">IF($A1091="","",INDEX(PlanningItemsList,10))</f>
        <v/>
      </c>
      <c r="C1091" s="7"/>
      <c r="D1091" s="7"/>
    </row>
    <row r="1092" customFormat="false" ht="15" hidden="false" customHeight="false" outlineLevel="0" collapsed="false">
      <c r="A1092" s="6" t="str">
        <f aca="false">IF('DATA UNIT'!$B56="","",'DATA UNIT'!$B56)</f>
        <v/>
      </c>
      <c r="B1092" s="6" t="str">
        <f aca="false">IF($A1092="","",INDEX(PlanningItemsList,11))</f>
        <v/>
      </c>
      <c r="C1092" s="7"/>
      <c r="D1092" s="7"/>
    </row>
    <row r="1093" customFormat="false" ht="15" hidden="false" customHeight="false" outlineLevel="0" collapsed="false">
      <c r="A1093" s="6" t="str">
        <f aca="false">IF('DATA UNIT'!$B56="","",'DATA UNIT'!$B56)</f>
        <v/>
      </c>
      <c r="B1093" s="6" t="str">
        <f aca="false">IF($A1093="","",INDEX(PlanningItemsList,12))</f>
        <v/>
      </c>
      <c r="C1093" s="7"/>
      <c r="D1093" s="7"/>
    </row>
    <row r="1094" customFormat="false" ht="15" hidden="false" customHeight="false" outlineLevel="0" collapsed="false">
      <c r="A1094" s="6" t="str">
        <f aca="false">IF('DATA UNIT'!$B56="","",'DATA UNIT'!$B56)</f>
        <v/>
      </c>
      <c r="B1094" s="6" t="str">
        <f aca="false">IF($A1094="","",INDEX(PlanningItemsList,13))</f>
        <v/>
      </c>
      <c r="C1094" s="7"/>
      <c r="D1094" s="7"/>
    </row>
    <row r="1095" customFormat="false" ht="15" hidden="false" customHeight="false" outlineLevel="0" collapsed="false">
      <c r="A1095" s="6" t="str">
        <f aca="false">IF('DATA UNIT'!$B56="","",'DATA UNIT'!$B56)</f>
        <v/>
      </c>
      <c r="B1095" s="6" t="str">
        <f aca="false">IF($A1095="","",INDEX(PlanningItemsList,14))</f>
        <v/>
      </c>
      <c r="C1095" s="7"/>
      <c r="D1095" s="7"/>
    </row>
    <row r="1096" customFormat="false" ht="15" hidden="false" customHeight="false" outlineLevel="0" collapsed="false">
      <c r="A1096" s="6" t="str">
        <f aca="false">IF('DATA UNIT'!$B56="","",'DATA UNIT'!$B56)</f>
        <v/>
      </c>
      <c r="B1096" s="6" t="str">
        <f aca="false">IF($A1096="","",INDEX(PlanningItemsList,15))</f>
        <v/>
      </c>
      <c r="C1096" s="7"/>
      <c r="D1096" s="7"/>
    </row>
    <row r="1097" customFormat="false" ht="15" hidden="false" customHeight="false" outlineLevel="0" collapsed="false">
      <c r="A1097" s="6" t="str">
        <f aca="false">IF('DATA UNIT'!$B56="","",'DATA UNIT'!$B56)</f>
        <v/>
      </c>
      <c r="B1097" s="6" t="str">
        <f aca="false">IF($A1097="","",INDEX(PlanningItemsList,16))</f>
        <v/>
      </c>
      <c r="C1097" s="7"/>
      <c r="D1097" s="7"/>
    </row>
    <row r="1098" customFormat="false" ht="15" hidden="false" customHeight="false" outlineLevel="0" collapsed="false">
      <c r="A1098" s="6" t="str">
        <f aca="false">IF('DATA UNIT'!$B56="","",'DATA UNIT'!$B56)</f>
        <v/>
      </c>
      <c r="B1098" s="6" t="str">
        <f aca="false">IF($A1098="","",INDEX(PlanningItemsList,17))</f>
        <v/>
      </c>
      <c r="C1098" s="7"/>
      <c r="D1098" s="7"/>
    </row>
    <row r="1099" customFormat="false" ht="15" hidden="false" customHeight="false" outlineLevel="0" collapsed="false">
      <c r="A1099" s="6" t="str">
        <f aca="false">IF('DATA UNIT'!$B56="","",'DATA UNIT'!$B56)</f>
        <v/>
      </c>
      <c r="B1099" s="6" t="str">
        <f aca="false">IF($A1099="","",INDEX(PlanningItemsList,18))</f>
        <v/>
      </c>
      <c r="C1099" s="7"/>
      <c r="D1099" s="7"/>
    </row>
    <row r="1100" customFormat="false" ht="15" hidden="false" customHeight="false" outlineLevel="0" collapsed="false">
      <c r="A1100" s="6" t="str">
        <f aca="false">IF('DATA UNIT'!$B56="","",'DATA UNIT'!$B56)</f>
        <v/>
      </c>
      <c r="B1100" s="6" t="str">
        <f aca="false">IF($A1100="","",INDEX(PlanningItemsList,19))</f>
        <v/>
      </c>
      <c r="C1100" s="7"/>
      <c r="D1100" s="7"/>
    </row>
    <row r="1101" customFormat="false" ht="15" hidden="false" customHeight="false" outlineLevel="0" collapsed="false">
      <c r="A1101" s="6" t="str">
        <f aca="false">IF('DATA UNIT'!$B56="","",'DATA UNIT'!$B56)</f>
        <v/>
      </c>
      <c r="B1101" s="6" t="str">
        <f aca="false">IF($A1101="","",INDEX(PlanningItemsList,20))</f>
        <v/>
      </c>
      <c r="C1101" s="7"/>
      <c r="D1101" s="7"/>
    </row>
    <row r="1102" customFormat="false" ht="15" hidden="false" customHeight="false" outlineLevel="0" collapsed="false">
      <c r="A1102" s="6" t="str">
        <f aca="false">IF('DATA UNIT'!$B57="","",'DATA UNIT'!$B57)</f>
        <v/>
      </c>
      <c r="B1102" s="6" t="str">
        <f aca="false">IF($A1102="","",INDEX(PlanningItemsList,1))</f>
        <v/>
      </c>
      <c r="C1102" s="7"/>
      <c r="D1102" s="7"/>
    </row>
    <row r="1103" customFormat="false" ht="15" hidden="false" customHeight="false" outlineLevel="0" collapsed="false">
      <c r="A1103" s="6" t="str">
        <f aca="false">IF('DATA UNIT'!$B57="","",'DATA UNIT'!$B57)</f>
        <v/>
      </c>
      <c r="B1103" s="6" t="str">
        <f aca="false">IF($A1103="","",INDEX(PlanningItemsList,2))</f>
        <v/>
      </c>
      <c r="C1103" s="7"/>
      <c r="D1103" s="7"/>
    </row>
    <row r="1104" customFormat="false" ht="15" hidden="false" customHeight="false" outlineLevel="0" collapsed="false">
      <c r="A1104" s="6" t="str">
        <f aca="false">IF('DATA UNIT'!$B57="","",'DATA UNIT'!$B57)</f>
        <v/>
      </c>
      <c r="B1104" s="6" t="str">
        <f aca="false">IF($A1104="","",INDEX(PlanningItemsList,3))</f>
        <v/>
      </c>
      <c r="C1104" s="7"/>
      <c r="D1104" s="7"/>
    </row>
    <row r="1105" customFormat="false" ht="15" hidden="false" customHeight="false" outlineLevel="0" collapsed="false">
      <c r="A1105" s="6" t="str">
        <f aca="false">IF('DATA UNIT'!$B57="","",'DATA UNIT'!$B57)</f>
        <v/>
      </c>
      <c r="B1105" s="6" t="str">
        <f aca="false">IF($A1105="","",INDEX(PlanningItemsList,4))</f>
        <v/>
      </c>
      <c r="C1105" s="7"/>
      <c r="D1105" s="7"/>
    </row>
    <row r="1106" customFormat="false" ht="15" hidden="false" customHeight="false" outlineLevel="0" collapsed="false">
      <c r="A1106" s="6" t="str">
        <f aca="false">IF('DATA UNIT'!$B57="","",'DATA UNIT'!$B57)</f>
        <v/>
      </c>
      <c r="B1106" s="6" t="str">
        <f aca="false">IF($A1106="","",INDEX(PlanningItemsList,5))</f>
        <v/>
      </c>
      <c r="C1106" s="7"/>
      <c r="D1106" s="7"/>
    </row>
    <row r="1107" customFormat="false" ht="15" hidden="false" customHeight="false" outlineLevel="0" collapsed="false">
      <c r="A1107" s="6" t="str">
        <f aca="false">IF('DATA UNIT'!$B57="","",'DATA UNIT'!$B57)</f>
        <v/>
      </c>
      <c r="B1107" s="6" t="str">
        <f aca="false">IF($A1107="","",INDEX(PlanningItemsList,6))</f>
        <v/>
      </c>
      <c r="C1107" s="7"/>
      <c r="D1107" s="7"/>
    </row>
    <row r="1108" customFormat="false" ht="15" hidden="false" customHeight="false" outlineLevel="0" collapsed="false">
      <c r="A1108" s="6" t="str">
        <f aca="false">IF('DATA UNIT'!$B57="","",'DATA UNIT'!$B57)</f>
        <v/>
      </c>
      <c r="B1108" s="6" t="str">
        <f aca="false">IF($A1108="","",INDEX(PlanningItemsList,7))</f>
        <v/>
      </c>
      <c r="C1108" s="7"/>
      <c r="D1108" s="7"/>
    </row>
    <row r="1109" customFormat="false" ht="15" hidden="false" customHeight="false" outlineLevel="0" collapsed="false">
      <c r="A1109" s="6" t="str">
        <f aca="false">IF('DATA UNIT'!$B57="","",'DATA UNIT'!$B57)</f>
        <v/>
      </c>
      <c r="B1109" s="6" t="str">
        <f aca="false">IF($A1109="","",INDEX(PlanningItemsList,8))</f>
        <v/>
      </c>
      <c r="C1109" s="7"/>
      <c r="D1109" s="7"/>
    </row>
    <row r="1110" customFormat="false" ht="15" hidden="false" customHeight="false" outlineLevel="0" collapsed="false">
      <c r="A1110" s="6" t="str">
        <f aca="false">IF('DATA UNIT'!$B57="","",'DATA UNIT'!$B57)</f>
        <v/>
      </c>
      <c r="B1110" s="6" t="str">
        <f aca="false">IF($A1110="","",INDEX(PlanningItemsList,9))</f>
        <v/>
      </c>
      <c r="C1110" s="7"/>
      <c r="D1110" s="7"/>
    </row>
    <row r="1111" customFormat="false" ht="15" hidden="false" customHeight="false" outlineLevel="0" collapsed="false">
      <c r="A1111" s="6" t="str">
        <f aca="false">IF('DATA UNIT'!$B57="","",'DATA UNIT'!$B57)</f>
        <v/>
      </c>
      <c r="B1111" s="6" t="str">
        <f aca="false">IF($A1111="","",INDEX(PlanningItemsList,10))</f>
        <v/>
      </c>
      <c r="C1111" s="7"/>
      <c r="D1111" s="7"/>
    </row>
    <row r="1112" customFormat="false" ht="15" hidden="false" customHeight="false" outlineLevel="0" collapsed="false">
      <c r="A1112" s="6" t="str">
        <f aca="false">IF('DATA UNIT'!$B57="","",'DATA UNIT'!$B57)</f>
        <v/>
      </c>
      <c r="B1112" s="6" t="str">
        <f aca="false">IF($A1112="","",INDEX(PlanningItemsList,11))</f>
        <v/>
      </c>
      <c r="C1112" s="7"/>
      <c r="D1112" s="7"/>
    </row>
    <row r="1113" customFormat="false" ht="15" hidden="false" customHeight="false" outlineLevel="0" collapsed="false">
      <c r="A1113" s="6" t="str">
        <f aca="false">IF('DATA UNIT'!$B57="","",'DATA UNIT'!$B57)</f>
        <v/>
      </c>
      <c r="B1113" s="6" t="str">
        <f aca="false">IF($A1113="","",INDEX(PlanningItemsList,12))</f>
        <v/>
      </c>
      <c r="C1113" s="7"/>
      <c r="D1113" s="7"/>
    </row>
    <row r="1114" customFormat="false" ht="15" hidden="false" customHeight="false" outlineLevel="0" collapsed="false">
      <c r="A1114" s="6" t="str">
        <f aca="false">IF('DATA UNIT'!$B57="","",'DATA UNIT'!$B57)</f>
        <v/>
      </c>
      <c r="B1114" s="6" t="str">
        <f aca="false">IF($A1114="","",INDEX(PlanningItemsList,13))</f>
        <v/>
      </c>
      <c r="C1114" s="7"/>
      <c r="D1114" s="7"/>
    </row>
    <row r="1115" customFormat="false" ht="15" hidden="false" customHeight="false" outlineLevel="0" collapsed="false">
      <c r="A1115" s="6" t="str">
        <f aca="false">IF('DATA UNIT'!$B57="","",'DATA UNIT'!$B57)</f>
        <v/>
      </c>
      <c r="B1115" s="6" t="str">
        <f aca="false">IF($A1115="","",INDEX(PlanningItemsList,14))</f>
        <v/>
      </c>
      <c r="C1115" s="7"/>
      <c r="D1115" s="7"/>
    </row>
    <row r="1116" customFormat="false" ht="15" hidden="false" customHeight="false" outlineLevel="0" collapsed="false">
      <c r="A1116" s="6" t="str">
        <f aca="false">IF('DATA UNIT'!$B57="","",'DATA UNIT'!$B57)</f>
        <v/>
      </c>
      <c r="B1116" s="6" t="str">
        <f aca="false">IF($A1116="","",INDEX(PlanningItemsList,15))</f>
        <v/>
      </c>
      <c r="C1116" s="7"/>
      <c r="D1116" s="7"/>
    </row>
    <row r="1117" customFormat="false" ht="15" hidden="false" customHeight="false" outlineLevel="0" collapsed="false">
      <c r="A1117" s="6" t="str">
        <f aca="false">IF('DATA UNIT'!$B57="","",'DATA UNIT'!$B57)</f>
        <v/>
      </c>
      <c r="B1117" s="6" t="str">
        <f aca="false">IF($A1117="","",INDEX(PlanningItemsList,16))</f>
        <v/>
      </c>
      <c r="C1117" s="7"/>
      <c r="D1117" s="7"/>
    </row>
    <row r="1118" customFormat="false" ht="15" hidden="false" customHeight="false" outlineLevel="0" collapsed="false">
      <c r="A1118" s="6" t="str">
        <f aca="false">IF('DATA UNIT'!$B57="","",'DATA UNIT'!$B57)</f>
        <v/>
      </c>
      <c r="B1118" s="6" t="str">
        <f aca="false">IF($A1118="","",INDEX(PlanningItemsList,17))</f>
        <v/>
      </c>
      <c r="C1118" s="7"/>
      <c r="D1118" s="7"/>
    </row>
    <row r="1119" customFormat="false" ht="15" hidden="false" customHeight="false" outlineLevel="0" collapsed="false">
      <c r="A1119" s="6" t="str">
        <f aca="false">IF('DATA UNIT'!$B57="","",'DATA UNIT'!$B57)</f>
        <v/>
      </c>
      <c r="B1119" s="6" t="str">
        <f aca="false">IF($A1119="","",INDEX(PlanningItemsList,18))</f>
        <v/>
      </c>
      <c r="C1119" s="7"/>
      <c r="D1119" s="7"/>
    </row>
    <row r="1120" customFormat="false" ht="15" hidden="false" customHeight="false" outlineLevel="0" collapsed="false">
      <c r="A1120" s="6" t="str">
        <f aca="false">IF('DATA UNIT'!$B57="","",'DATA UNIT'!$B57)</f>
        <v/>
      </c>
      <c r="B1120" s="6" t="str">
        <f aca="false">IF($A1120="","",INDEX(PlanningItemsList,19))</f>
        <v/>
      </c>
      <c r="C1120" s="7"/>
      <c r="D1120" s="7"/>
    </row>
    <row r="1121" customFormat="false" ht="15" hidden="false" customHeight="false" outlineLevel="0" collapsed="false">
      <c r="A1121" s="6" t="str">
        <f aca="false">IF('DATA UNIT'!$B57="","",'DATA UNIT'!$B57)</f>
        <v/>
      </c>
      <c r="B1121" s="6" t="str">
        <f aca="false">IF($A1121="","",INDEX(PlanningItemsList,20))</f>
        <v/>
      </c>
      <c r="C1121" s="7"/>
      <c r="D1121" s="7"/>
    </row>
    <row r="1122" customFormat="false" ht="15" hidden="false" customHeight="false" outlineLevel="0" collapsed="false">
      <c r="A1122" s="6" t="str">
        <f aca="false">IF('DATA UNIT'!$B58="","",'DATA UNIT'!$B58)</f>
        <v/>
      </c>
      <c r="B1122" s="6" t="str">
        <f aca="false">IF($A1122="","",INDEX(PlanningItemsList,1))</f>
        <v/>
      </c>
      <c r="C1122" s="7"/>
      <c r="D1122" s="7"/>
    </row>
    <row r="1123" customFormat="false" ht="15" hidden="false" customHeight="false" outlineLevel="0" collapsed="false">
      <c r="A1123" s="6" t="str">
        <f aca="false">IF('DATA UNIT'!$B58="","",'DATA UNIT'!$B58)</f>
        <v/>
      </c>
      <c r="B1123" s="6" t="str">
        <f aca="false">IF($A1123="","",INDEX(PlanningItemsList,2))</f>
        <v/>
      </c>
      <c r="C1123" s="7"/>
      <c r="D1123" s="7"/>
    </row>
    <row r="1124" customFormat="false" ht="15" hidden="false" customHeight="false" outlineLevel="0" collapsed="false">
      <c r="A1124" s="6" t="str">
        <f aca="false">IF('DATA UNIT'!$B58="","",'DATA UNIT'!$B58)</f>
        <v/>
      </c>
      <c r="B1124" s="6" t="str">
        <f aca="false">IF($A1124="","",INDEX(PlanningItemsList,3))</f>
        <v/>
      </c>
      <c r="C1124" s="7"/>
      <c r="D1124" s="7"/>
    </row>
    <row r="1125" customFormat="false" ht="15" hidden="false" customHeight="false" outlineLevel="0" collapsed="false">
      <c r="A1125" s="6" t="str">
        <f aca="false">IF('DATA UNIT'!$B58="","",'DATA UNIT'!$B58)</f>
        <v/>
      </c>
      <c r="B1125" s="6" t="str">
        <f aca="false">IF($A1125="","",INDEX(PlanningItemsList,4))</f>
        <v/>
      </c>
      <c r="C1125" s="7"/>
      <c r="D1125" s="7"/>
    </row>
    <row r="1126" customFormat="false" ht="15" hidden="false" customHeight="false" outlineLevel="0" collapsed="false">
      <c r="A1126" s="6" t="str">
        <f aca="false">IF('DATA UNIT'!$B58="","",'DATA UNIT'!$B58)</f>
        <v/>
      </c>
      <c r="B1126" s="6" t="str">
        <f aca="false">IF($A1126="","",INDEX(PlanningItemsList,5))</f>
        <v/>
      </c>
      <c r="C1126" s="7"/>
      <c r="D1126" s="7"/>
    </row>
    <row r="1127" customFormat="false" ht="15" hidden="false" customHeight="false" outlineLevel="0" collapsed="false">
      <c r="A1127" s="6" t="str">
        <f aca="false">IF('DATA UNIT'!$B58="","",'DATA UNIT'!$B58)</f>
        <v/>
      </c>
      <c r="B1127" s="6" t="str">
        <f aca="false">IF($A1127="","",INDEX(PlanningItemsList,6))</f>
        <v/>
      </c>
      <c r="C1127" s="7"/>
      <c r="D1127" s="7"/>
    </row>
    <row r="1128" customFormat="false" ht="15" hidden="false" customHeight="false" outlineLevel="0" collapsed="false">
      <c r="A1128" s="6" t="str">
        <f aca="false">IF('DATA UNIT'!$B58="","",'DATA UNIT'!$B58)</f>
        <v/>
      </c>
      <c r="B1128" s="6" t="str">
        <f aca="false">IF($A1128="","",INDEX(PlanningItemsList,7))</f>
        <v/>
      </c>
      <c r="C1128" s="7"/>
      <c r="D1128" s="7"/>
    </row>
    <row r="1129" customFormat="false" ht="15" hidden="false" customHeight="false" outlineLevel="0" collapsed="false">
      <c r="A1129" s="6" t="str">
        <f aca="false">IF('DATA UNIT'!$B58="","",'DATA UNIT'!$B58)</f>
        <v/>
      </c>
      <c r="B1129" s="6" t="str">
        <f aca="false">IF($A1129="","",INDEX(PlanningItemsList,8))</f>
        <v/>
      </c>
      <c r="C1129" s="7"/>
      <c r="D1129" s="7"/>
    </row>
    <row r="1130" customFormat="false" ht="15" hidden="false" customHeight="false" outlineLevel="0" collapsed="false">
      <c r="A1130" s="6" t="str">
        <f aca="false">IF('DATA UNIT'!$B58="","",'DATA UNIT'!$B58)</f>
        <v/>
      </c>
      <c r="B1130" s="6" t="str">
        <f aca="false">IF($A1130="","",INDEX(PlanningItemsList,9))</f>
        <v/>
      </c>
      <c r="C1130" s="7"/>
      <c r="D1130" s="7"/>
    </row>
    <row r="1131" customFormat="false" ht="15" hidden="false" customHeight="false" outlineLevel="0" collapsed="false">
      <c r="A1131" s="6" t="str">
        <f aca="false">IF('DATA UNIT'!$B58="","",'DATA UNIT'!$B58)</f>
        <v/>
      </c>
      <c r="B1131" s="6" t="str">
        <f aca="false">IF($A1131="","",INDEX(PlanningItemsList,10))</f>
        <v/>
      </c>
      <c r="C1131" s="7"/>
      <c r="D1131" s="7"/>
    </row>
    <row r="1132" customFormat="false" ht="15" hidden="false" customHeight="false" outlineLevel="0" collapsed="false">
      <c r="A1132" s="6" t="str">
        <f aca="false">IF('DATA UNIT'!$B58="","",'DATA UNIT'!$B58)</f>
        <v/>
      </c>
      <c r="B1132" s="6" t="str">
        <f aca="false">IF($A1132="","",INDEX(PlanningItemsList,11))</f>
        <v/>
      </c>
      <c r="C1132" s="7"/>
      <c r="D1132" s="7"/>
    </row>
    <row r="1133" customFormat="false" ht="15" hidden="false" customHeight="false" outlineLevel="0" collapsed="false">
      <c r="A1133" s="6" t="str">
        <f aca="false">IF('DATA UNIT'!$B58="","",'DATA UNIT'!$B58)</f>
        <v/>
      </c>
      <c r="B1133" s="6" t="str">
        <f aca="false">IF($A1133="","",INDEX(PlanningItemsList,12))</f>
        <v/>
      </c>
      <c r="C1133" s="7"/>
      <c r="D1133" s="7"/>
    </row>
    <row r="1134" customFormat="false" ht="15" hidden="false" customHeight="false" outlineLevel="0" collapsed="false">
      <c r="A1134" s="6" t="str">
        <f aca="false">IF('DATA UNIT'!$B58="","",'DATA UNIT'!$B58)</f>
        <v/>
      </c>
      <c r="B1134" s="6" t="str">
        <f aca="false">IF($A1134="","",INDEX(PlanningItemsList,13))</f>
        <v/>
      </c>
      <c r="C1134" s="7"/>
      <c r="D1134" s="7"/>
    </row>
    <row r="1135" customFormat="false" ht="15" hidden="false" customHeight="false" outlineLevel="0" collapsed="false">
      <c r="A1135" s="6" t="str">
        <f aca="false">IF('DATA UNIT'!$B58="","",'DATA UNIT'!$B58)</f>
        <v/>
      </c>
      <c r="B1135" s="6" t="str">
        <f aca="false">IF($A1135="","",INDEX(PlanningItemsList,14))</f>
        <v/>
      </c>
      <c r="C1135" s="7"/>
      <c r="D1135" s="7"/>
    </row>
    <row r="1136" customFormat="false" ht="15" hidden="false" customHeight="false" outlineLevel="0" collapsed="false">
      <c r="A1136" s="6" t="str">
        <f aca="false">IF('DATA UNIT'!$B58="","",'DATA UNIT'!$B58)</f>
        <v/>
      </c>
      <c r="B1136" s="6" t="str">
        <f aca="false">IF($A1136="","",INDEX(PlanningItemsList,15))</f>
        <v/>
      </c>
      <c r="C1136" s="7"/>
      <c r="D1136" s="7"/>
    </row>
    <row r="1137" customFormat="false" ht="15" hidden="false" customHeight="false" outlineLevel="0" collapsed="false">
      <c r="A1137" s="6" t="str">
        <f aca="false">IF('DATA UNIT'!$B58="","",'DATA UNIT'!$B58)</f>
        <v/>
      </c>
      <c r="B1137" s="6" t="str">
        <f aca="false">IF($A1137="","",INDEX(PlanningItemsList,16))</f>
        <v/>
      </c>
      <c r="C1137" s="7"/>
      <c r="D1137" s="7"/>
    </row>
    <row r="1138" customFormat="false" ht="15" hidden="false" customHeight="false" outlineLevel="0" collapsed="false">
      <c r="A1138" s="6" t="str">
        <f aca="false">IF('DATA UNIT'!$B58="","",'DATA UNIT'!$B58)</f>
        <v/>
      </c>
      <c r="B1138" s="6" t="str">
        <f aca="false">IF($A1138="","",INDEX(PlanningItemsList,17))</f>
        <v/>
      </c>
      <c r="C1138" s="7"/>
      <c r="D1138" s="7"/>
    </row>
    <row r="1139" customFormat="false" ht="15" hidden="false" customHeight="false" outlineLevel="0" collapsed="false">
      <c r="A1139" s="6" t="str">
        <f aca="false">IF('DATA UNIT'!$B58="","",'DATA UNIT'!$B58)</f>
        <v/>
      </c>
      <c r="B1139" s="6" t="str">
        <f aca="false">IF($A1139="","",INDEX(PlanningItemsList,18))</f>
        <v/>
      </c>
      <c r="C1139" s="7"/>
      <c r="D1139" s="7"/>
    </row>
    <row r="1140" customFormat="false" ht="15" hidden="false" customHeight="false" outlineLevel="0" collapsed="false">
      <c r="A1140" s="6" t="str">
        <f aca="false">IF('DATA UNIT'!$B58="","",'DATA UNIT'!$B58)</f>
        <v/>
      </c>
      <c r="B1140" s="6" t="str">
        <f aca="false">IF($A1140="","",INDEX(PlanningItemsList,19))</f>
        <v/>
      </c>
      <c r="C1140" s="7"/>
      <c r="D1140" s="7"/>
    </row>
    <row r="1141" customFormat="false" ht="15" hidden="false" customHeight="false" outlineLevel="0" collapsed="false">
      <c r="A1141" s="6" t="str">
        <f aca="false">IF('DATA UNIT'!$B58="","",'DATA UNIT'!$B58)</f>
        <v/>
      </c>
      <c r="B1141" s="6" t="str">
        <f aca="false">IF($A1141="","",INDEX(PlanningItemsList,20))</f>
        <v/>
      </c>
      <c r="C1141" s="7"/>
      <c r="D1141" s="7"/>
    </row>
    <row r="1142" customFormat="false" ht="15" hidden="false" customHeight="false" outlineLevel="0" collapsed="false">
      <c r="A1142" s="6" t="str">
        <f aca="false">IF('DATA UNIT'!$B59="","",'DATA UNIT'!$B59)</f>
        <v/>
      </c>
      <c r="B1142" s="6" t="str">
        <f aca="false">IF($A1142="","",INDEX(PlanningItemsList,1))</f>
        <v/>
      </c>
      <c r="C1142" s="7"/>
      <c r="D1142" s="7"/>
    </row>
    <row r="1143" customFormat="false" ht="15" hidden="false" customHeight="false" outlineLevel="0" collapsed="false">
      <c r="A1143" s="6" t="str">
        <f aca="false">IF('DATA UNIT'!$B59="","",'DATA UNIT'!$B59)</f>
        <v/>
      </c>
      <c r="B1143" s="6" t="str">
        <f aca="false">IF($A1143="","",INDEX(PlanningItemsList,2))</f>
        <v/>
      </c>
      <c r="C1143" s="7"/>
      <c r="D1143" s="7"/>
    </row>
    <row r="1144" customFormat="false" ht="15" hidden="false" customHeight="false" outlineLevel="0" collapsed="false">
      <c r="A1144" s="6" t="str">
        <f aca="false">IF('DATA UNIT'!$B59="","",'DATA UNIT'!$B59)</f>
        <v/>
      </c>
      <c r="B1144" s="6" t="str">
        <f aca="false">IF($A1144="","",INDEX(PlanningItemsList,3))</f>
        <v/>
      </c>
      <c r="C1144" s="7"/>
      <c r="D1144" s="7"/>
    </row>
    <row r="1145" customFormat="false" ht="15" hidden="false" customHeight="false" outlineLevel="0" collapsed="false">
      <c r="A1145" s="6" t="str">
        <f aca="false">IF('DATA UNIT'!$B59="","",'DATA UNIT'!$B59)</f>
        <v/>
      </c>
      <c r="B1145" s="6" t="str">
        <f aca="false">IF($A1145="","",INDEX(PlanningItemsList,4))</f>
        <v/>
      </c>
      <c r="C1145" s="7"/>
      <c r="D1145" s="7"/>
    </row>
    <row r="1146" customFormat="false" ht="15" hidden="false" customHeight="false" outlineLevel="0" collapsed="false">
      <c r="A1146" s="6" t="str">
        <f aca="false">IF('DATA UNIT'!$B59="","",'DATA UNIT'!$B59)</f>
        <v/>
      </c>
      <c r="B1146" s="6" t="str">
        <f aca="false">IF($A1146="","",INDEX(PlanningItemsList,5))</f>
        <v/>
      </c>
      <c r="C1146" s="7"/>
      <c r="D1146" s="7"/>
    </row>
    <row r="1147" customFormat="false" ht="15" hidden="false" customHeight="false" outlineLevel="0" collapsed="false">
      <c r="A1147" s="6" t="str">
        <f aca="false">IF('DATA UNIT'!$B59="","",'DATA UNIT'!$B59)</f>
        <v/>
      </c>
      <c r="B1147" s="6" t="str">
        <f aca="false">IF($A1147="","",INDEX(PlanningItemsList,6))</f>
        <v/>
      </c>
      <c r="C1147" s="7"/>
      <c r="D1147" s="7"/>
    </row>
    <row r="1148" customFormat="false" ht="15" hidden="false" customHeight="false" outlineLevel="0" collapsed="false">
      <c r="A1148" s="6" t="str">
        <f aca="false">IF('DATA UNIT'!$B59="","",'DATA UNIT'!$B59)</f>
        <v/>
      </c>
      <c r="B1148" s="6" t="str">
        <f aca="false">IF($A1148="","",INDEX(PlanningItemsList,7))</f>
        <v/>
      </c>
      <c r="C1148" s="7"/>
      <c r="D1148" s="7"/>
    </row>
    <row r="1149" customFormat="false" ht="15" hidden="false" customHeight="false" outlineLevel="0" collapsed="false">
      <c r="A1149" s="6" t="str">
        <f aca="false">IF('DATA UNIT'!$B59="","",'DATA UNIT'!$B59)</f>
        <v/>
      </c>
      <c r="B1149" s="6" t="str">
        <f aca="false">IF($A1149="","",INDEX(PlanningItemsList,8))</f>
        <v/>
      </c>
      <c r="C1149" s="7"/>
      <c r="D1149" s="7"/>
    </row>
    <row r="1150" customFormat="false" ht="15" hidden="false" customHeight="false" outlineLevel="0" collapsed="false">
      <c r="A1150" s="6" t="str">
        <f aca="false">IF('DATA UNIT'!$B59="","",'DATA UNIT'!$B59)</f>
        <v/>
      </c>
      <c r="B1150" s="6" t="str">
        <f aca="false">IF($A1150="","",INDEX(PlanningItemsList,9))</f>
        <v/>
      </c>
      <c r="C1150" s="7"/>
      <c r="D1150" s="7"/>
    </row>
    <row r="1151" customFormat="false" ht="15" hidden="false" customHeight="false" outlineLevel="0" collapsed="false">
      <c r="A1151" s="6" t="str">
        <f aca="false">IF('DATA UNIT'!$B59="","",'DATA UNIT'!$B59)</f>
        <v/>
      </c>
      <c r="B1151" s="6" t="str">
        <f aca="false">IF($A1151="","",INDEX(PlanningItemsList,10))</f>
        <v/>
      </c>
      <c r="C1151" s="7"/>
      <c r="D1151" s="7"/>
    </row>
    <row r="1152" customFormat="false" ht="15" hidden="false" customHeight="false" outlineLevel="0" collapsed="false">
      <c r="A1152" s="6" t="str">
        <f aca="false">IF('DATA UNIT'!$B59="","",'DATA UNIT'!$B59)</f>
        <v/>
      </c>
      <c r="B1152" s="6" t="str">
        <f aca="false">IF($A1152="","",INDEX(PlanningItemsList,11))</f>
        <v/>
      </c>
      <c r="C1152" s="7"/>
      <c r="D1152" s="7"/>
    </row>
    <row r="1153" customFormat="false" ht="15" hidden="false" customHeight="false" outlineLevel="0" collapsed="false">
      <c r="A1153" s="6" t="str">
        <f aca="false">IF('DATA UNIT'!$B59="","",'DATA UNIT'!$B59)</f>
        <v/>
      </c>
      <c r="B1153" s="6" t="str">
        <f aca="false">IF($A1153="","",INDEX(PlanningItemsList,12))</f>
        <v/>
      </c>
      <c r="C1153" s="7"/>
      <c r="D1153" s="7"/>
    </row>
    <row r="1154" customFormat="false" ht="15" hidden="false" customHeight="false" outlineLevel="0" collapsed="false">
      <c r="A1154" s="6" t="str">
        <f aca="false">IF('DATA UNIT'!$B59="","",'DATA UNIT'!$B59)</f>
        <v/>
      </c>
      <c r="B1154" s="6" t="str">
        <f aca="false">IF($A1154="","",INDEX(PlanningItemsList,13))</f>
        <v/>
      </c>
      <c r="C1154" s="7"/>
      <c r="D1154" s="7"/>
    </row>
    <row r="1155" customFormat="false" ht="15" hidden="false" customHeight="false" outlineLevel="0" collapsed="false">
      <c r="A1155" s="6" t="str">
        <f aca="false">IF('DATA UNIT'!$B59="","",'DATA UNIT'!$B59)</f>
        <v/>
      </c>
      <c r="B1155" s="6" t="str">
        <f aca="false">IF($A1155="","",INDEX(PlanningItemsList,14))</f>
        <v/>
      </c>
      <c r="C1155" s="7"/>
      <c r="D1155" s="7"/>
    </row>
    <row r="1156" customFormat="false" ht="15" hidden="false" customHeight="false" outlineLevel="0" collapsed="false">
      <c r="A1156" s="6" t="str">
        <f aca="false">IF('DATA UNIT'!$B59="","",'DATA UNIT'!$B59)</f>
        <v/>
      </c>
      <c r="B1156" s="6" t="str">
        <f aca="false">IF($A1156="","",INDEX(PlanningItemsList,15))</f>
        <v/>
      </c>
      <c r="C1156" s="7"/>
      <c r="D1156" s="7"/>
    </row>
    <row r="1157" customFormat="false" ht="15" hidden="false" customHeight="false" outlineLevel="0" collapsed="false">
      <c r="A1157" s="6" t="str">
        <f aca="false">IF('DATA UNIT'!$B59="","",'DATA UNIT'!$B59)</f>
        <v/>
      </c>
      <c r="B1157" s="6" t="str">
        <f aca="false">IF($A1157="","",INDEX(PlanningItemsList,16))</f>
        <v/>
      </c>
      <c r="C1157" s="7"/>
      <c r="D1157" s="7"/>
    </row>
    <row r="1158" customFormat="false" ht="15" hidden="false" customHeight="false" outlineLevel="0" collapsed="false">
      <c r="A1158" s="6" t="str">
        <f aca="false">IF('DATA UNIT'!$B59="","",'DATA UNIT'!$B59)</f>
        <v/>
      </c>
      <c r="B1158" s="6" t="str">
        <f aca="false">IF($A1158="","",INDEX(PlanningItemsList,17))</f>
        <v/>
      </c>
      <c r="C1158" s="7"/>
      <c r="D1158" s="7"/>
    </row>
    <row r="1159" customFormat="false" ht="15" hidden="false" customHeight="false" outlineLevel="0" collapsed="false">
      <c r="A1159" s="6" t="str">
        <f aca="false">IF('DATA UNIT'!$B59="","",'DATA UNIT'!$B59)</f>
        <v/>
      </c>
      <c r="B1159" s="6" t="str">
        <f aca="false">IF($A1159="","",INDEX(PlanningItemsList,18))</f>
        <v/>
      </c>
      <c r="C1159" s="7"/>
      <c r="D1159" s="7"/>
    </row>
    <row r="1160" customFormat="false" ht="15" hidden="false" customHeight="false" outlineLevel="0" collapsed="false">
      <c r="A1160" s="6" t="str">
        <f aca="false">IF('DATA UNIT'!$B59="","",'DATA UNIT'!$B59)</f>
        <v/>
      </c>
      <c r="B1160" s="6" t="str">
        <f aca="false">IF($A1160="","",INDEX(PlanningItemsList,19))</f>
        <v/>
      </c>
      <c r="C1160" s="7"/>
      <c r="D1160" s="7"/>
    </row>
    <row r="1161" customFormat="false" ht="15" hidden="false" customHeight="false" outlineLevel="0" collapsed="false">
      <c r="A1161" s="6" t="str">
        <f aca="false">IF('DATA UNIT'!$B59="","",'DATA UNIT'!$B59)</f>
        <v/>
      </c>
      <c r="B1161" s="6" t="str">
        <f aca="false">IF($A1161="","",INDEX(PlanningItemsList,20))</f>
        <v/>
      </c>
      <c r="C1161" s="7"/>
      <c r="D1161" s="7"/>
    </row>
    <row r="1162" customFormat="false" ht="15" hidden="false" customHeight="false" outlineLevel="0" collapsed="false">
      <c r="A1162" s="6" t="str">
        <f aca="false">IF('DATA UNIT'!$B60="","",'DATA UNIT'!$B60)</f>
        <v/>
      </c>
      <c r="B1162" s="6" t="str">
        <f aca="false">IF($A1162="","",INDEX(PlanningItemsList,1))</f>
        <v/>
      </c>
      <c r="C1162" s="7"/>
      <c r="D1162" s="7"/>
    </row>
    <row r="1163" customFormat="false" ht="15" hidden="false" customHeight="false" outlineLevel="0" collapsed="false">
      <c r="A1163" s="6" t="str">
        <f aca="false">IF('DATA UNIT'!$B60="","",'DATA UNIT'!$B60)</f>
        <v/>
      </c>
      <c r="B1163" s="6" t="str">
        <f aca="false">IF($A1163="","",INDEX(PlanningItemsList,2))</f>
        <v/>
      </c>
      <c r="C1163" s="7"/>
      <c r="D1163" s="7"/>
    </row>
    <row r="1164" customFormat="false" ht="15" hidden="false" customHeight="false" outlineLevel="0" collapsed="false">
      <c r="A1164" s="6" t="str">
        <f aca="false">IF('DATA UNIT'!$B60="","",'DATA UNIT'!$B60)</f>
        <v/>
      </c>
      <c r="B1164" s="6" t="str">
        <f aca="false">IF($A1164="","",INDEX(PlanningItemsList,3))</f>
        <v/>
      </c>
      <c r="C1164" s="7"/>
      <c r="D1164" s="7"/>
    </row>
    <row r="1165" customFormat="false" ht="15" hidden="false" customHeight="false" outlineLevel="0" collapsed="false">
      <c r="A1165" s="6" t="str">
        <f aca="false">IF('DATA UNIT'!$B60="","",'DATA UNIT'!$B60)</f>
        <v/>
      </c>
      <c r="B1165" s="6" t="str">
        <f aca="false">IF($A1165="","",INDEX(PlanningItemsList,4))</f>
        <v/>
      </c>
      <c r="C1165" s="7"/>
      <c r="D1165" s="7"/>
    </row>
    <row r="1166" customFormat="false" ht="15" hidden="false" customHeight="false" outlineLevel="0" collapsed="false">
      <c r="A1166" s="6" t="str">
        <f aca="false">IF('DATA UNIT'!$B60="","",'DATA UNIT'!$B60)</f>
        <v/>
      </c>
      <c r="B1166" s="6" t="str">
        <f aca="false">IF($A1166="","",INDEX(PlanningItemsList,5))</f>
        <v/>
      </c>
      <c r="C1166" s="7"/>
      <c r="D1166" s="7"/>
    </row>
    <row r="1167" customFormat="false" ht="15" hidden="false" customHeight="false" outlineLevel="0" collapsed="false">
      <c r="A1167" s="6" t="str">
        <f aca="false">IF('DATA UNIT'!$B60="","",'DATA UNIT'!$B60)</f>
        <v/>
      </c>
      <c r="B1167" s="6" t="str">
        <f aca="false">IF($A1167="","",INDEX(PlanningItemsList,6))</f>
        <v/>
      </c>
      <c r="C1167" s="7"/>
      <c r="D1167" s="7"/>
    </row>
    <row r="1168" customFormat="false" ht="15" hidden="false" customHeight="false" outlineLevel="0" collapsed="false">
      <c r="A1168" s="6" t="str">
        <f aca="false">IF('DATA UNIT'!$B60="","",'DATA UNIT'!$B60)</f>
        <v/>
      </c>
      <c r="B1168" s="6" t="str">
        <f aca="false">IF($A1168="","",INDEX(PlanningItemsList,7))</f>
        <v/>
      </c>
      <c r="C1168" s="7"/>
      <c r="D1168" s="7"/>
    </row>
    <row r="1169" customFormat="false" ht="15" hidden="false" customHeight="false" outlineLevel="0" collapsed="false">
      <c r="A1169" s="6" t="str">
        <f aca="false">IF('DATA UNIT'!$B60="","",'DATA UNIT'!$B60)</f>
        <v/>
      </c>
      <c r="B1169" s="6" t="str">
        <f aca="false">IF($A1169="","",INDEX(PlanningItemsList,8))</f>
        <v/>
      </c>
      <c r="C1169" s="7"/>
      <c r="D1169" s="7"/>
    </row>
    <row r="1170" customFormat="false" ht="15" hidden="false" customHeight="false" outlineLevel="0" collapsed="false">
      <c r="A1170" s="6" t="str">
        <f aca="false">IF('DATA UNIT'!$B60="","",'DATA UNIT'!$B60)</f>
        <v/>
      </c>
      <c r="B1170" s="6" t="str">
        <f aca="false">IF($A1170="","",INDEX(PlanningItemsList,9))</f>
        <v/>
      </c>
      <c r="C1170" s="7"/>
      <c r="D1170" s="7"/>
    </row>
    <row r="1171" customFormat="false" ht="15" hidden="false" customHeight="false" outlineLevel="0" collapsed="false">
      <c r="A1171" s="6" t="str">
        <f aca="false">IF('DATA UNIT'!$B60="","",'DATA UNIT'!$B60)</f>
        <v/>
      </c>
      <c r="B1171" s="6" t="str">
        <f aca="false">IF($A1171="","",INDEX(PlanningItemsList,10))</f>
        <v/>
      </c>
      <c r="C1171" s="7"/>
      <c r="D1171" s="7"/>
    </row>
    <row r="1172" customFormat="false" ht="15" hidden="false" customHeight="false" outlineLevel="0" collapsed="false">
      <c r="A1172" s="6" t="str">
        <f aca="false">IF('DATA UNIT'!$B60="","",'DATA UNIT'!$B60)</f>
        <v/>
      </c>
      <c r="B1172" s="6" t="str">
        <f aca="false">IF($A1172="","",INDEX(PlanningItemsList,11))</f>
        <v/>
      </c>
      <c r="C1172" s="7"/>
      <c r="D1172" s="7"/>
    </row>
    <row r="1173" customFormat="false" ht="15" hidden="false" customHeight="false" outlineLevel="0" collapsed="false">
      <c r="A1173" s="6" t="str">
        <f aca="false">IF('DATA UNIT'!$B60="","",'DATA UNIT'!$B60)</f>
        <v/>
      </c>
      <c r="B1173" s="6" t="str">
        <f aca="false">IF($A1173="","",INDEX(PlanningItemsList,12))</f>
        <v/>
      </c>
      <c r="C1173" s="7"/>
      <c r="D1173" s="7"/>
    </row>
    <row r="1174" customFormat="false" ht="15" hidden="false" customHeight="false" outlineLevel="0" collapsed="false">
      <c r="A1174" s="6" t="str">
        <f aca="false">IF('DATA UNIT'!$B60="","",'DATA UNIT'!$B60)</f>
        <v/>
      </c>
      <c r="B1174" s="6" t="str">
        <f aca="false">IF($A1174="","",INDEX(PlanningItemsList,13))</f>
        <v/>
      </c>
      <c r="C1174" s="7"/>
      <c r="D1174" s="7"/>
    </row>
    <row r="1175" customFormat="false" ht="15" hidden="false" customHeight="false" outlineLevel="0" collapsed="false">
      <c r="A1175" s="6" t="str">
        <f aca="false">IF('DATA UNIT'!$B60="","",'DATA UNIT'!$B60)</f>
        <v/>
      </c>
      <c r="B1175" s="6" t="str">
        <f aca="false">IF($A1175="","",INDEX(PlanningItemsList,14))</f>
        <v/>
      </c>
      <c r="C1175" s="7"/>
      <c r="D1175" s="7"/>
    </row>
    <row r="1176" customFormat="false" ht="15" hidden="false" customHeight="false" outlineLevel="0" collapsed="false">
      <c r="A1176" s="6" t="str">
        <f aca="false">IF('DATA UNIT'!$B60="","",'DATA UNIT'!$B60)</f>
        <v/>
      </c>
      <c r="B1176" s="6" t="str">
        <f aca="false">IF($A1176="","",INDEX(PlanningItemsList,15))</f>
        <v/>
      </c>
      <c r="C1176" s="7"/>
      <c r="D1176" s="7"/>
    </row>
    <row r="1177" customFormat="false" ht="15" hidden="false" customHeight="false" outlineLevel="0" collapsed="false">
      <c r="A1177" s="6" t="str">
        <f aca="false">IF('DATA UNIT'!$B60="","",'DATA UNIT'!$B60)</f>
        <v/>
      </c>
      <c r="B1177" s="6" t="str">
        <f aca="false">IF($A1177="","",INDEX(PlanningItemsList,16))</f>
        <v/>
      </c>
      <c r="C1177" s="7"/>
      <c r="D1177" s="7"/>
    </row>
    <row r="1178" customFormat="false" ht="15" hidden="false" customHeight="false" outlineLevel="0" collapsed="false">
      <c r="A1178" s="6" t="str">
        <f aca="false">IF('DATA UNIT'!$B60="","",'DATA UNIT'!$B60)</f>
        <v/>
      </c>
      <c r="B1178" s="6" t="str">
        <f aca="false">IF($A1178="","",INDEX(PlanningItemsList,17))</f>
        <v/>
      </c>
      <c r="C1178" s="7"/>
      <c r="D1178" s="7"/>
    </row>
    <row r="1179" customFormat="false" ht="15" hidden="false" customHeight="false" outlineLevel="0" collapsed="false">
      <c r="A1179" s="6" t="str">
        <f aca="false">IF('DATA UNIT'!$B60="","",'DATA UNIT'!$B60)</f>
        <v/>
      </c>
      <c r="B1179" s="6" t="str">
        <f aca="false">IF($A1179="","",INDEX(PlanningItemsList,18))</f>
        <v/>
      </c>
      <c r="C1179" s="7"/>
      <c r="D1179" s="7"/>
    </row>
    <row r="1180" customFormat="false" ht="15" hidden="false" customHeight="false" outlineLevel="0" collapsed="false">
      <c r="A1180" s="6" t="str">
        <f aca="false">IF('DATA UNIT'!$B60="","",'DATA UNIT'!$B60)</f>
        <v/>
      </c>
      <c r="B1180" s="6" t="str">
        <f aca="false">IF($A1180="","",INDEX(PlanningItemsList,19))</f>
        <v/>
      </c>
      <c r="C1180" s="7"/>
      <c r="D1180" s="7"/>
    </row>
    <row r="1181" customFormat="false" ht="15" hidden="false" customHeight="false" outlineLevel="0" collapsed="false">
      <c r="A1181" s="6" t="str">
        <f aca="false">IF('DATA UNIT'!$B60="","",'DATA UNIT'!$B60)</f>
        <v/>
      </c>
      <c r="B1181" s="6" t="str">
        <f aca="false">IF($A1181="","",INDEX(PlanningItemsList,20))</f>
        <v/>
      </c>
      <c r="C1181" s="7"/>
      <c r="D1181" s="7"/>
    </row>
    <row r="1182" customFormat="false" ht="15" hidden="false" customHeight="false" outlineLevel="0" collapsed="false">
      <c r="A1182" s="6" t="str">
        <f aca="false">IF('DATA UNIT'!$B61="","",'DATA UNIT'!$B61)</f>
        <v/>
      </c>
      <c r="B1182" s="6" t="str">
        <f aca="false">IF($A1182="","",INDEX(PlanningItemsList,1))</f>
        <v/>
      </c>
      <c r="C1182" s="7"/>
      <c r="D1182" s="7"/>
    </row>
    <row r="1183" customFormat="false" ht="15" hidden="false" customHeight="false" outlineLevel="0" collapsed="false">
      <c r="A1183" s="6" t="str">
        <f aca="false">IF('DATA UNIT'!$B61="","",'DATA UNIT'!$B61)</f>
        <v/>
      </c>
      <c r="B1183" s="6" t="str">
        <f aca="false">IF($A1183="","",INDEX(PlanningItemsList,2))</f>
        <v/>
      </c>
      <c r="C1183" s="7"/>
      <c r="D1183" s="7"/>
    </row>
    <row r="1184" customFormat="false" ht="15" hidden="false" customHeight="false" outlineLevel="0" collapsed="false">
      <c r="A1184" s="6" t="str">
        <f aca="false">IF('DATA UNIT'!$B61="","",'DATA UNIT'!$B61)</f>
        <v/>
      </c>
      <c r="B1184" s="6" t="str">
        <f aca="false">IF($A1184="","",INDEX(PlanningItemsList,3))</f>
        <v/>
      </c>
      <c r="C1184" s="7"/>
      <c r="D1184" s="7"/>
    </row>
    <row r="1185" customFormat="false" ht="15" hidden="false" customHeight="false" outlineLevel="0" collapsed="false">
      <c r="A1185" s="6" t="str">
        <f aca="false">IF('DATA UNIT'!$B61="","",'DATA UNIT'!$B61)</f>
        <v/>
      </c>
      <c r="B1185" s="6" t="str">
        <f aca="false">IF($A1185="","",INDEX(PlanningItemsList,4))</f>
        <v/>
      </c>
      <c r="C1185" s="7"/>
      <c r="D1185" s="7"/>
    </row>
    <row r="1186" customFormat="false" ht="15" hidden="false" customHeight="false" outlineLevel="0" collapsed="false">
      <c r="A1186" s="6" t="str">
        <f aca="false">IF('DATA UNIT'!$B61="","",'DATA UNIT'!$B61)</f>
        <v/>
      </c>
      <c r="B1186" s="6" t="str">
        <f aca="false">IF($A1186="","",INDEX(PlanningItemsList,5))</f>
        <v/>
      </c>
      <c r="C1186" s="7"/>
      <c r="D1186" s="7"/>
    </row>
    <row r="1187" customFormat="false" ht="15" hidden="false" customHeight="false" outlineLevel="0" collapsed="false">
      <c r="A1187" s="6" t="str">
        <f aca="false">IF('DATA UNIT'!$B61="","",'DATA UNIT'!$B61)</f>
        <v/>
      </c>
      <c r="B1187" s="6" t="str">
        <f aca="false">IF($A1187="","",INDEX(PlanningItemsList,6))</f>
        <v/>
      </c>
      <c r="C1187" s="7"/>
      <c r="D1187" s="7"/>
    </row>
    <row r="1188" customFormat="false" ht="15" hidden="false" customHeight="false" outlineLevel="0" collapsed="false">
      <c r="A1188" s="6" t="str">
        <f aca="false">IF('DATA UNIT'!$B61="","",'DATA UNIT'!$B61)</f>
        <v/>
      </c>
      <c r="B1188" s="6" t="str">
        <f aca="false">IF($A1188="","",INDEX(PlanningItemsList,7))</f>
        <v/>
      </c>
      <c r="C1188" s="7"/>
      <c r="D1188" s="7"/>
    </row>
    <row r="1189" customFormat="false" ht="15" hidden="false" customHeight="false" outlineLevel="0" collapsed="false">
      <c r="A1189" s="6" t="str">
        <f aca="false">IF('DATA UNIT'!$B61="","",'DATA UNIT'!$B61)</f>
        <v/>
      </c>
      <c r="B1189" s="6" t="str">
        <f aca="false">IF($A1189="","",INDEX(PlanningItemsList,8))</f>
        <v/>
      </c>
      <c r="C1189" s="7"/>
      <c r="D1189" s="7"/>
    </row>
    <row r="1190" customFormat="false" ht="15" hidden="false" customHeight="false" outlineLevel="0" collapsed="false">
      <c r="A1190" s="6" t="str">
        <f aca="false">IF('DATA UNIT'!$B61="","",'DATA UNIT'!$B61)</f>
        <v/>
      </c>
      <c r="B1190" s="6" t="str">
        <f aca="false">IF($A1190="","",INDEX(PlanningItemsList,9))</f>
        <v/>
      </c>
      <c r="C1190" s="7"/>
      <c r="D1190" s="7"/>
    </row>
    <row r="1191" customFormat="false" ht="15" hidden="false" customHeight="false" outlineLevel="0" collapsed="false">
      <c r="A1191" s="6" t="str">
        <f aca="false">IF('DATA UNIT'!$B61="","",'DATA UNIT'!$B61)</f>
        <v/>
      </c>
      <c r="B1191" s="6" t="str">
        <f aca="false">IF($A1191="","",INDEX(PlanningItemsList,10))</f>
        <v/>
      </c>
      <c r="C1191" s="7"/>
      <c r="D1191" s="7"/>
    </row>
    <row r="1192" customFormat="false" ht="15" hidden="false" customHeight="false" outlineLevel="0" collapsed="false">
      <c r="A1192" s="6" t="str">
        <f aca="false">IF('DATA UNIT'!$B61="","",'DATA UNIT'!$B61)</f>
        <v/>
      </c>
      <c r="B1192" s="6" t="str">
        <f aca="false">IF($A1192="","",INDEX(PlanningItemsList,11))</f>
        <v/>
      </c>
      <c r="C1192" s="7"/>
      <c r="D1192" s="7"/>
    </row>
    <row r="1193" customFormat="false" ht="15" hidden="false" customHeight="false" outlineLevel="0" collapsed="false">
      <c r="A1193" s="6" t="str">
        <f aca="false">IF('DATA UNIT'!$B61="","",'DATA UNIT'!$B61)</f>
        <v/>
      </c>
      <c r="B1193" s="6" t="str">
        <f aca="false">IF($A1193="","",INDEX(PlanningItemsList,12))</f>
        <v/>
      </c>
      <c r="C1193" s="7"/>
      <c r="D1193" s="7"/>
    </row>
    <row r="1194" customFormat="false" ht="15" hidden="false" customHeight="false" outlineLevel="0" collapsed="false">
      <c r="A1194" s="6" t="str">
        <f aca="false">IF('DATA UNIT'!$B61="","",'DATA UNIT'!$B61)</f>
        <v/>
      </c>
      <c r="B1194" s="6" t="str">
        <f aca="false">IF($A1194="","",INDEX(PlanningItemsList,13))</f>
        <v/>
      </c>
      <c r="C1194" s="7"/>
      <c r="D1194" s="7"/>
    </row>
    <row r="1195" customFormat="false" ht="15" hidden="false" customHeight="false" outlineLevel="0" collapsed="false">
      <c r="A1195" s="6" t="str">
        <f aca="false">IF('DATA UNIT'!$B61="","",'DATA UNIT'!$B61)</f>
        <v/>
      </c>
      <c r="B1195" s="6" t="str">
        <f aca="false">IF($A1195="","",INDEX(PlanningItemsList,14))</f>
        <v/>
      </c>
      <c r="C1195" s="7"/>
      <c r="D1195" s="7"/>
    </row>
    <row r="1196" customFormat="false" ht="15" hidden="false" customHeight="false" outlineLevel="0" collapsed="false">
      <c r="A1196" s="6" t="str">
        <f aca="false">IF('DATA UNIT'!$B61="","",'DATA UNIT'!$B61)</f>
        <v/>
      </c>
      <c r="B1196" s="6" t="str">
        <f aca="false">IF($A1196="","",INDEX(PlanningItemsList,15))</f>
        <v/>
      </c>
      <c r="C1196" s="7"/>
      <c r="D1196" s="7"/>
    </row>
    <row r="1197" customFormat="false" ht="15" hidden="false" customHeight="false" outlineLevel="0" collapsed="false">
      <c r="A1197" s="6" t="str">
        <f aca="false">IF('DATA UNIT'!$B61="","",'DATA UNIT'!$B61)</f>
        <v/>
      </c>
      <c r="B1197" s="6" t="str">
        <f aca="false">IF($A1197="","",INDEX(PlanningItemsList,16))</f>
        <v/>
      </c>
      <c r="C1197" s="7"/>
      <c r="D1197" s="7"/>
    </row>
    <row r="1198" customFormat="false" ht="15" hidden="false" customHeight="false" outlineLevel="0" collapsed="false">
      <c r="A1198" s="6" t="str">
        <f aca="false">IF('DATA UNIT'!$B61="","",'DATA UNIT'!$B61)</f>
        <v/>
      </c>
      <c r="B1198" s="6" t="str">
        <f aca="false">IF($A1198="","",INDEX(PlanningItemsList,17))</f>
        <v/>
      </c>
      <c r="C1198" s="7"/>
      <c r="D1198" s="7"/>
    </row>
    <row r="1199" customFormat="false" ht="15" hidden="false" customHeight="false" outlineLevel="0" collapsed="false">
      <c r="A1199" s="6" t="str">
        <f aca="false">IF('DATA UNIT'!$B61="","",'DATA UNIT'!$B61)</f>
        <v/>
      </c>
      <c r="B1199" s="6" t="str">
        <f aca="false">IF($A1199="","",INDEX(PlanningItemsList,18))</f>
        <v/>
      </c>
      <c r="C1199" s="7"/>
      <c r="D1199" s="7"/>
    </row>
    <row r="1200" customFormat="false" ht="15" hidden="false" customHeight="false" outlineLevel="0" collapsed="false">
      <c r="A1200" s="6" t="str">
        <f aca="false">IF('DATA UNIT'!$B61="","",'DATA UNIT'!$B61)</f>
        <v/>
      </c>
      <c r="B1200" s="6" t="str">
        <f aca="false">IF($A1200="","",INDEX(PlanningItemsList,19))</f>
        <v/>
      </c>
      <c r="C1200" s="7"/>
      <c r="D1200" s="7"/>
    </row>
    <row r="1201" customFormat="false" ht="15" hidden="false" customHeight="false" outlineLevel="0" collapsed="false">
      <c r="A1201" s="6" t="str">
        <f aca="false">IF('DATA UNIT'!$B61="","",'DATA UNIT'!$B61)</f>
        <v/>
      </c>
      <c r="B1201" s="6" t="str">
        <f aca="false">IF($A1201="","",INDEX(PlanningItemsList,20))</f>
        <v/>
      </c>
      <c r="C1201" s="7"/>
      <c r="D120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2026-07-09T06:18:26Z</dcterms:created>
  <dc:creator>openpyxl</dc:creator>
  <dc:description/>
  <dc:language>en-US</dc:language>
  <cp:lastModifiedBy/>
  <dcterms:modified xsi:type="dcterms:W3CDTF">2026-07-09T06:18:26Z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