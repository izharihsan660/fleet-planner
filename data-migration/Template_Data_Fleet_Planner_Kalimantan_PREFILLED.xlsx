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DUAN" sheetId="1" state="visible" r:id="rId3"/>
    <sheet name="_ItemList" sheetId="2" state="hidden" r:id="rId4"/>
    <sheet name="DATA UNIT" sheetId="3" state="visible" r:id="rId5"/>
    <sheet name="SETUP AWAL ITEM" sheetId="4" state="visible" r:id="rId6"/>
  </sheets>
  <definedNames>
    <definedName function="false" hidden="false" name="PlanningItemsList" vbProcedure="false">_ItemList!$A$1:$A$20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<sst xmlns="http://schemas.openxmlformats.org/spreadsheetml/2006/main" count="734" uniqueCount="289">
  <si>
    <t xml:space="preserve">PANDUAN PENGISIAN DATA — FLEET MAINTENANCE PLANNER (REGION KALIMANTAN)</t>
  </si>
  <si>
    <t xml:space="preserve">Template ini KHUSUS untuk REGION KALIMANTAN.</t>
  </si>
  <si>
    <t xml:space="preserve">Sheet 'DATA UNIT' SUDAH TERISI OTOMATIS dari data Register Kendaraan resmi PT NAJ (133 unit).</t>
  </si>
  <si>
    <t xml:space="preserve">TIDAK PERLU mengetik ulang data unit — kolom hijau adalah data yang sudah benar dari sumber resmi.</t>
  </si>
  <si>
    <t xml:space="preserve">TUGAS ADMIN SEKARANG:</t>
  </si>
  <si>
    <t xml:space="preserve">1. Cek sheet 'DATA UNIT' — kalau ada unit di region ini yang TERLEWAT (belum ada di daftar),</t>
  </si>
  <si>
    <t xml:space="preserve">   boleh ditambahkan manual di baris kosong paling bawah, isi Site/Plat/Tipe/Kategori/Customer.</t>
  </si>
  <si>
    <t xml:space="preserve">2. Buka sheet 'SETUP AWAL ITEM' — kolom 'Plat Nomor' dan 'Nama Item' SUDAH OTOMATIS TERISI</t>
  </si>
  <si>
    <t xml:space="preserve">   (jangan diketik manual, jangan diubah).</t>
  </si>
  <si>
    <t xml:space="preserve">   Isi kolom kuning 'Kapan Terakhir Diganti' (tanggal) untuk tiap item, per unit.</t>
  </si>
  <si>
    <t xml:space="preserve">   Kolom 'KM Saat Diganti' BOLEH DIKOSONGKAN kalau tidak ada catatan pastinya.</t>
  </si>
  <si>
    <t xml:space="preserve">   Kalau item BELUM PERNAH diganti sejak unit ini dipakai, KOSONGKAN kedua kolom kuning itu.</t>
  </si>
  <si>
    <t xml:space="preserve">3. TIDAK PERLU isi odometer/KM unit saat ini — itu akan diisi Mekanik lewat aplikasi nanti.</t>
  </si>
  <si>
    <t xml:space="preserve">20 ITEM YANG OTOMATIS MUNCUL UNTUK SETIAP UNIT:</t>
  </si>
  <si>
    <t xml:space="preserve">   PM Check / Reguler Services, Service A, Service B, Brake Pad, Brake Shoe, Accu, Kampas Kopling Set, Wiper Blade, Ban Depan, Ban Belakang, Ban Serep, Greasing, V-Belt, Sarung Jok, Karpet Karet, Karpet Dasar, Flushing Radiator, Flushing Steering, Flushing Injector, Flushing Rem</t>
  </si>
  <si>
    <t xml:space="preserve">PENTING:</t>
  </si>
  <si>
    <t xml:space="preserve">   - Data unit (hijau) adalah data RESMI, jangan diubah kecuali benar-benar salah/perlu koreksi.</t>
  </si>
  <si>
    <t xml:space="preserve">   - Format tanggal: YYYY-MM-DD (contoh: 2026-07-08)</t>
  </si>
  <si>
    <t xml:space="preserve">   - JANGAN mengubah urutan baris di sheet 'SETUP AWAL ITEM'.</t>
  </si>
  <si>
    <t xml:space="preserve">PM Check / Reguler Services</t>
  </si>
  <si>
    <t xml:space="preserve">Service A</t>
  </si>
  <si>
    <t xml:space="preserve">Service B</t>
  </si>
  <si>
    <t xml:space="preserve">Brake Pad</t>
  </si>
  <si>
    <t xml:space="preserve">Brake Shoe</t>
  </si>
  <si>
    <t xml:space="preserve">Accu</t>
  </si>
  <si>
    <t xml:space="preserve">Kampas Kopling Set</t>
  </si>
  <si>
    <t xml:space="preserve">Wiper Blade</t>
  </si>
  <si>
    <t xml:space="preserve">Ban Depan</t>
  </si>
  <si>
    <t xml:space="preserve">Ban Belakang</t>
  </si>
  <si>
    <t xml:space="preserve">Ban Serep</t>
  </si>
  <si>
    <t xml:space="preserve">Greasing</t>
  </si>
  <si>
    <t xml:space="preserve">V-Belt</t>
  </si>
  <si>
    <t xml:space="preserve">Sarung Jok</t>
  </si>
  <si>
    <t xml:space="preserve">Karpet Karet</t>
  </si>
  <si>
    <t xml:space="preserve">Karpet Dasar</t>
  </si>
  <si>
    <t xml:space="preserve">Flushing Radiator</t>
  </si>
  <si>
    <t xml:space="preserve">Flushing Steering</t>
  </si>
  <si>
    <t xml:space="preserve">Flushing Injector</t>
  </si>
  <si>
    <t xml:space="preserve">Flushing Rem</t>
  </si>
  <si>
    <t xml:space="preserve">Site</t>
  </si>
  <si>
    <t xml:space="preserve">Plat Nomor</t>
  </si>
  <si>
    <t xml:space="preserve">Tipe/Merk Unit</t>
  </si>
  <si>
    <t xml:space="preserve">Kategori Kendaraan</t>
  </si>
  <si>
    <t xml:space="preserve">Customer</t>
  </si>
  <si>
    <t xml:space="preserve">Plat Lama (jika ada)</t>
  </si>
  <si>
    <t xml:space="preserve">BPN</t>
  </si>
  <si>
    <t xml:space="preserve">B 2444 UIL</t>
  </si>
  <si>
    <t xml:space="preserve">Toyota Kijang Innova Zenix 2,0G CVT</t>
  </si>
  <si>
    <t xml:space="preserve">pickup_suv</t>
  </si>
  <si>
    <t xml:space="preserve">PT. KMSI</t>
  </si>
  <si>
    <t xml:space="preserve">KT 1077 WK</t>
  </si>
  <si>
    <t xml:space="preserve">B 2533 UIY</t>
  </si>
  <si>
    <t xml:space="preserve">KT 1148 WI</t>
  </si>
  <si>
    <t xml:space="preserve">KT 8404 YR</t>
  </si>
  <si>
    <t xml:space="preserve">Toyota All New Hilux 2,4G DC 4X4 M</t>
  </si>
  <si>
    <t xml:space="preserve">PT. UT</t>
  </si>
  <si>
    <t xml:space="preserve">KT 8620 YR</t>
  </si>
  <si>
    <t xml:space="preserve">KT 8619 YR</t>
  </si>
  <si>
    <t xml:space="preserve">KT 8621 YR</t>
  </si>
  <si>
    <t xml:space="preserve">KT 8932 ZA</t>
  </si>
  <si>
    <t xml:space="preserve">KT 8942 ZE</t>
  </si>
  <si>
    <t xml:space="preserve">KT 1538 HC</t>
  </si>
  <si>
    <t xml:space="preserve">Daihatsu New Terios 1,5 R A</t>
  </si>
  <si>
    <t xml:space="preserve">KT 1120 YR</t>
  </si>
  <si>
    <t xml:space="preserve">KT 8926 ZK</t>
  </si>
  <si>
    <t xml:space="preserve">Toyota Hilux Rangga Pick Up 2,0 STD M</t>
  </si>
  <si>
    <t xml:space="preserve">KT 8485 XB</t>
  </si>
  <si>
    <t xml:space="preserve">KT 7233 K</t>
  </si>
  <si>
    <t xml:space="preserve">Isuzu NQR 71 EC E2-1 5,0 Bus</t>
  </si>
  <si>
    <t xml:space="preserve">bus</t>
  </si>
  <si>
    <t xml:space="preserve">PT. KRA</t>
  </si>
  <si>
    <t xml:space="preserve">KT 7236 K</t>
  </si>
  <si>
    <t xml:space="preserve">KT 8870 YP</t>
  </si>
  <si>
    <t xml:space="preserve">Daihatsu Gran Max PU AC PS 1,5 FH EA</t>
  </si>
  <si>
    <t xml:space="preserve">PT. TRIATRA</t>
  </si>
  <si>
    <t xml:space="preserve">SANGA SANGA</t>
  </si>
  <si>
    <t xml:space="preserve">KT 8714 YK</t>
  </si>
  <si>
    <t xml:space="preserve">Toyota All New Hilux 2,4 G DC 4X4 M</t>
  </si>
  <si>
    <t xml:space="preserve">JAKARTA</t>
  </si>
  <si>
    <t xml:space="preserve">B 1493 EOG</t>
  </si>
  <si>
    <t xml:space="preserve">Toyota Kijang Innova 2,0E A</t>
  </si>
  <si>
    <t xml:space="preserve">PT. INTERNUSA JAYARAYA ABADI</t>
  </si>
  <si>
    <t xml:space="preserve">B 2317 UKL</t>
  </si>
  <si>
    <t xml:space="preserve">Toyota Grand New Avanza 1,3 G M</t>
  </si>
  <si>
    <t xml:space="preserve">B 2229 UOK</t>
  </si>
  <si>
    <t xml:space="preserve">Toyota All New Innova 2,0 G A</t>
  </si>
  <si>
    <t xml:space="preserve">B 1695 EOS</t>
  </si>
  <si>
    <t xml:space="preserve">Toyota All New Innova 2.0 G A</t>
  </si>
  <si>
    <t xml:space="preserve">B 1984 EJA</t>
  </si>
  <si>
    <t xml:space="preserve">Toyota Fortuner 2,7V Automatic TCN51</t>
  </si>
  <si>
    <t xml:space="preserve">B 1327 EOH</t>
  </si>
  <si>
    <t xml:space="preserve">Toyota Grand New Avanza 1.3 G M</t>
  </si>
  <si>
    <t xml:space="preserve">PT. NAJR</t>
  </si>
  <si>
    <t xml:space="preserve">KT 7564 KA</t>
  </si>
  <si>
    <t xml:space="preserve">Isuzu NLR 55B LX Mikrobus 2,771 (20 Seat + AC)</t>
  </si>
  <si>
    <t xml:space="preserve">KT 7524 K</t>
  </si>
  <si>
    <t xml:space="preserve">SANGATTA</t>
  </si>
  <si>
    <t xml:space="preserve">KT 8154 YH</t>
  </si>
  <si>
    <t xml:space="preserve">Toyota All New Hilux 2,4E DC 4X4 M</t>
  </si>
  <si>
    <t xml:space="preserve">KT 8507 NR</t>
  </si>
  <si>
    <t xml:space="preserve">KT 8836 YQ</t>
  </si>
  <si>
    <t xml:space="preserve">LOREH</t>
  </si>
  <si>
    <t xml:space="preserve">KT 1619 YI</t>
  </si>
  <si>
    <t xml:space="preserve">Toyota All New Fortuner 2,4 VRZ 4X4 A</t>
  </si>
  <si>
    <t xml:space="preserve">KT 8526 YT</t>
  </si>
  <si>
    <t xml:space="preserve">Toyota All New Hilux 2,393 CC G DC 4X4 M</t>
  </si>
  <si>
    <t xml:space="preserve">KT 8527 YT</t>
  </si>
  <si>
    <t xml:space="preserve">KT 8039 YV</t>
  </si>
  <si>
    <t xml:space="preserve">KT 8041 YV</t>
  </si>
  <si>
    <t xml:space="preserve">KT 8042 YV</t>
  </si>
  <si>
    <t xml:space="preserve">KT 8322 YV</t>
  </si>
  <si>
    <t xml:space="preserve">Toyota All New Hilux 2,393 CC SC 4X4 M</t>
  </si>
  <si>
    <t xml:space="preserve">B 2468 UZT</t>
  </si>
  <si>
    <t xml:space="preserve">Toyota All New Innova Reborn 2,4 G M</t>
  </si>
  <si>
    <t xml:space="preserve">KT 8417 YS</t>
  </si>
  <si>
    <t xml:space="preserve">Mitsubishi All New Triton 2,442 GLS DC 4X4 M</t>
  </si>
  <si>
    <t xml:space="preserve">PT. NAJR - GS</t>
  </si>
  <si>
    <t xml:space="preserve">KT 8036 YV</t>
  </si>
  <si>
    <t xml:space="preserve">Toyota All New Hilux 2,393 G DC 4X4 M</t>
  </si>
  <si>
    <t xml:space="preserve">MUARA LAWA</t>
  </si>
  <si>
    <t xml:space="preserve">KT 8475 YZ</t>
  </si>
  <si>
    <t xml:space="preserve">PT. UT - Damai /</t>
  </si>
  <si>
    <t xml:space="preserve">KT 8164 ZA</t>
  </si>
  <si>
    <t xml:space="preserve">KT 8192 YT</t>
  </si>
  <si>
    <t xml:space="preserve">Toyota All New Hilux Pick Up 2,4 4X4 M</t>
  </si>
  <si>
    <t xml:space="preserve">KT 8976 YZ</t>
  </si>
  <si>
    <t xml:space="preserve">Toyota All New Hilux 2,393 E DC CC 4X4 M</t>
  </si>
  <si>
    <t xml:space="preserve">KT 8157 ZA</t>
  </si>
  <si>
    <t xml:space="preserve">KT 8870 ZE</t>
  </si>
  <si>
    <t xml:space="preserve">KT 8307 ZF</t>
  </si>
  <si>
    <t xml:space="preserve">Toyota All New Hilux SC 2,4 4X4 M</t>
  </si>
  <si>
    <t xml:space="preserve">B 2213 UYO</t>
  </si>
  <si>
    <t xml:space="preserve">Toyota Innova Reborn 2,4G M</t>
  </si>
  <si>
    <t xml:space="preserve">B 1045 BCF</t>
  </si>
  <si>
    <t xml:space="preserve">DD 8468 UY</t>
  </si>
  <si>
    <t xml:space="preserve">DD 1407 XX</t>
  </si>
  <si>
    <t xml:space="preserve">DD 8467 UY</t>
  </si>
  <si>
    <t xml:space="preserve">DD 1781 XX</t>
  </si>
  <si>
    <t xml:space="preserve">KT 8471 ZH</t>
  </si>
  <si>
    <t xml:space="preserve">KT 8367 WE</t>
  </si>
  <si>
    <t xml:space="preserve">KT 8306 ZH</t>
  </si>
  <si>
    <t xml:space="preserve">Mitsubishi All New Triton 2,4 GLS DC 4X4 M</t>
  </si>
  <si>
    <t xml:space="preserve">KT 8307 ZH</t>
  </si>
  <si>
    <t xml:space="preserve">KT 8472 ZH</t>
  </si>
  <si>
    <t xml:space="preserve">KT 8473 ZH</t>
  </si>
  <si>
    <t xml:space="preserve">KT 8834 ZH</t>
  </si>
  <si>
    <t xml:space="preserve">KT 8832 ZH</t>
  </si>
  <si>
    <t xml:space="preserve">B 2898 UYP</t>
  </si>
  <si>
    <t xml:space="preserve">B 1699 LKJ</t>
  </si>
  <si>
    <t xml:space="preserve">KT 7398 KA</t>
  </si>
  <si>
    <t xml:space="preserve">Mitsubishi Canter FE 71L 3,907 CC BC N 4X2 M</t>
  </si>
  <si>
    <t xml:space="preserve">truk_ringan</t>
  </si>
  <si>
    <t xml:space="preserve">KT 7401 KA</t>
  </si>
  <si>
    <t xml:space="preserve">KT 8492 ZI</t>
  </si>
  <si>
    <t xml:space="preserve">KT 8918 ZL</t>
  </si>
  <si>
    <t xml:space="preserve">KT 8622 ZN</t>
  </si>
  <si>
    <t xml:space="preserve">KT 8832 YQ</t>
  </si>
  <si>
    <t xml:space="preserve">KT 8943 ZE</t>
  </si>
  <si>
    <t xml:space="preserve">Toyota All New Hilux 2,398 CC G DC 4X4 M</t>
  </si>
  <si>
    <t xml:space="preserve">KT 8167 ZA</t>
  </si>
  <si>
    <t xml:space="preserve">Toyota All New Hilux 2,393 CC E DC 4X4 M</t>
  </si>
  <si>
    <t xml:space="preserve">DW 8328 AN</t>
  </si>
  <si>
    <t xml:space="preserve">Mahindra Scorpio Pikup DC E11 WD 4X4 M</t>
  </si>
  <si>
    <t xml:space="preserve">KT 8166 ZA</t>
  </si>
  <si>
    <t xml:space="preserve">KT 8165 ZA</t>
  </si>
  <si>
    <t xml:space="preserve">KT 8923 YY</t>
  </si>
  <si>
    <t xml:space="preserve">Toyota All New Hilux DC 2,393 CC G 4X4 M</t>
  </si>
  <si>
    <t xml:space="preserve">KT 8401 ZA</t>
  </si>
  <si>
    <t xml:space="preserve">Toyota Hilux Pick Up 2.393 SC 4X4 M</t>
  </si>
  <si>
    <t xml:space="preserve">KT 8041 ZA</t>
  </si>
  <si>
    <t xml:space="preserve">TENGGARONG</t>
  </si>
  <si>
    <t xml:space="preserve">KT 8665 YS</t>
  </si>
  <si>
    <t xml:space="preserve">Mitsubishi All New Triton 2,4L GLS DC 4X4 M</t>
  </si>
  <si>
    <t xml:space="preserve">SMD</t>
  </si>
  <si>
    <t xml:space="preserve">KT 8137 YW</t>
  </si>
  <si>
    <t xml:space="preserve">KT 8138 YW</t>
  </si>
  <si>
    <t xml:space="preserve">KT 8328 YW</t>
  </si>
  <si>
    <t xml:space="preserve">KT 8329 YW</t>
  </si>
  <si>
    <t xml:space="preserve">KT 8785 YW</t>
  </si>
  <si>
    <t xml:space="preserve">KT 8622 YY</t>
  </si>
  <si>
    <t xml:space="preserve">KT 8701 YY</t>
  </si>
  <si>
    <t xml:space="preserve">KT 8697 YY</t>
  </si>
  <si>
    <t xml:space="preserve">KT 8696 YY</t>
  </si>
  <si>
    <t xml:space="preserve">KT 8075 YZ</t>
  </si>
  <si>
    <t xml:space="preserve">KT 8162 ZA</t>
  </si>
  <si>
    <t xml:space="preserve">DD 8003 UC</t>
  </si>
  <si>
    <t xml:space="preserve">KT 8170 ZA</t>
  </si>
  <si>
    <t xml:space="preserve">KT 8172 ZA</t>
  </si>
  <si>
    <t xml:space="preserve">LOA KULU</t>
  </si>
  <si>
    <t xml:space="preserve">KT 8477 YZ</t>
  </si>
  <si>
    <t xml:space="preserve">PT. UT - SMD (Site. MHU</t>
  </si>
  <si>
    <t xml:space="preserve">KT 8163 ZA</t>
  </si>
  <si>
    <t xml:space="preserve">KT 8173 ZA</t>
  </si>
  <si>
    <t xml:space="preserve">KT 8478 YZ</t>
  </si>
  <si>
    <t xml:space="preserve">KT 8831 YQ</t>
  </si>
  <si>
    <t xml:space="preserve">KT 8524 ZJ</t>
  </si>
  <si>
    <t xml:space="preserve">PT. AKR Corporindo</t>
  </si>
  <si>
    <t xml:space="preserve">KT 8523 ZJ</t>
  </si>
  <si>
    <t xml:space="preserve">PT. AKR T. I</t>
  </si>
  <si>
    <t xml:space="preserve">KT 8214 UZ</t>
  </si>
  <si>
    <t xml:space="preserve">B 2411 UFY</t>
  </si>
  <si>
    <t xml:space="preserve">Toyota All New Avanza 1,5 Veloz M</t>
  </si>
  <si>
    <t xml:space="preserve">PT. BERKARYA</t>
  </si>
  <si>
    <t xml:space="preserve">KT 8038 YV</t>
  </si>
  <si>
    <t xml:space="preserve">PT. TAMBANG</t>
  </si>
  <si>
    <t xml:space="preserve">KT 8926 YZ</t>
  </si>
  <si>
    <t xml:space="preserve">Mahindra Scorpio Pikup DC E11 WD 2,2 4X4 M</t>
  </si>
  <si>
    <t xml:space="preserve">KT 8693 YS</t>
  </si>
  <si>
    <t xml:space="preserve">Toyota All New Hilux 2,4 E DC 4X4 M</t>
  </si>
  <si>
    <t xml:space="preserve">KT 8834 YQ</t>
  </si>
  <si>
    <t xml:space="preserve">TJ. REDEB</t>
  </si>
  <si>
    <t xml:space="preserve">DA 1550 OA</t>
  </si>
  <si>
    <t xml:space="preserve">KT 8479 YZ</t>
  </si>
  <si>
    <t xml:space="preserve">TARAKAN</t>
  </si>
  <si>
    <t xml:space="preserve">KT 8493 ZI</t>
  </si>
  <si>
    <t xml:space="preserve">TABANG</t>
  </si>
  <si>
    <t xml:space="preserve">KT 1492 YY</t>
  </si>
  <si>
    <t xml:space="preserve">Toyota All New Innova 2,4G M</t>
  </si>
  <si>
    <t xml:space="preserve">KT 8621 YY</t>
  </si>
  <si>
    <t xml:space="preserve">KT 8817 YS</t>
  </si>
  <si>
    <t xml:space="preserve">KT 8323 YV</t>
  </si>
  <si>
    <t xml:space="preserve">Toyota All New Hilux SC 2,393 CC 4X4 M</t>
  </si>
  <si>
    <t xml:space="preserve">LOAJANAN</t>
  </si>
  <si>
    <t xml:space="preserve">KT 8990 YS</t>
  </si>
  <si>
    <t xml:space="preserve">KT 8993 YS</t>
  </si>
  <si>
    <t xml:space="preserve">KT 8229 YS</t>
  </si>
  <si>
    <t xml:space="preserve">KT 8694 YS</t>
  </si>
  <si>
    <t xml:space="preserve">KT 8695 YS</t>
  </si>
  <si>
    <t xml:space="preserve">KT 8698 YS</t>
  </si>
  <si>
    <t xml:space="preserve">KT 8623 YY</t>
  </si>
  <si>
    <t xml:space="preserve">DD 8184 SQ</t>
  </si>
  <si>
    <t xml:space="preserve">SEPARI</t>
  </si>
  <si>
    <t xml:space="preserve">KT 8626 YT</t>
  </si>
  <si>
    <t xml:space="preserve">Toyota All New Hilux SC Pick Up 2,393 CC 4X4 M</t>
  </si>
  <si>
    <t xml:space="preserve">KT 8160 ZA</t>
  </si>
  <si>
    <t xml:space="preserve">KT 8158 ZA</t>
  </si>
  <si>
    <t xml:space="preserve">KT 8927 ZE</t>
  </si>
  <si>
    <t xml:space="preserve">KT 8227 ZN</t>
  </si>
  <si>
    <t xml:space="preserve">Mitsubishi All New Triton 2,4L HDX DC 4X4 M</t>
  </si>
  <si>
    <t xml:space="preserve">PT. BSS - MHU</t>
  </si>
  <si>
    <t xml:space="preserve">KT 8250 ZN</t>
  </si>
  <si>
    <t xml:space="preserve">KT 8251 ZN</t>
  </si>
  <si>
    <t xml:space="preserve">KT 8252 ZN</t>
  </si>
  <si>
    <t xml:space="preserve">KT 8036 ZO</t>
  </si>
  <si>
    <t xml:space="preserve">KT 8152 XB</t>
  </si>
  <si>
    <t xml:space="preserve">KT 8037 ZO</t>
  </si>
  <si>
    <t xml:space="preserve">KT 8350 XB</t>
  </si>
  <si>
    <t xml:space="preserve">KT 8079 ZO</t>
  </si>
  <si>
    <t xml:space="preserve">KT 8082 ZO</t>
  </si>
  <si>
    <t xml:space="preserve">KT 8192 ZO</t>
  </si>
  <si>
    <t xml:space="preserve">Mitsubishi All New Triton 2,5L SC HDX-L 4X4 M</t>
  </si>
  <si>
    <t xml:space="preserve">KT 8994 YS</t>
  </si>
  <si>
    <t xml:space="preserve">KT 8136 YW</t>
  </si>
  <si>
    <t xml:space="preserve">KT 1862 YJ</t>
  </si>
  <si>
    <t xml:space="preserve">Mitsubishi All New Pajero Sport 2,4L Dakar Ultimate 4X4 A</t>
  </si>
  <si>
    <t xml:space="preserve">PT. BSS</t>
  </si>
  <si>
    <t xml:space="preserve">KT 8176 YS</t>
  </si>
  <si>
    <t xml:space="preserve">Toyota All New Hilux DC 2,393 CC E 4X4 M</t>
  </si>
  <si>
    <t xml:space="preserve">PT. NAJR - GS BSS</t>
  </si>
  <si>
    <t xml:space="preserve">ADARO</t>
  </si>
  <si>
    <t xml:space="preserve">DA 7376 HG</t>
  </si>
  <si>
    <t xml:space="preserve">Mitsubishi Canter FE 84G 3908 CC BC 4X2 M</t>
  </si>
  <si>
    <t xml:space="preserve">DA 7378 HG</t>
  </si>
  <si>
    <t xml:space="preserve">KT 8763 LQ</t>
  </si>
  <si>
    <t xml:space="preserve">Daihatsu Gran Max PU 1,5 AC PS</t>
  </si>
  <si>
    <t xml:space="preserve">KT 8958 LP</t>
  </si>
  <si>
    <t xml:space="preserve">B 1153 EKX</t>
  </si>
  <si>
    <t xml:space="preserve">Toyota New Avanza Veloz 1,5 M</t>
  </si>
  <si>
    <t xml:space="preserve">KT 8418 YB</t>
  </si>
  <si>
    <t xml:space="preserve">Daihatsu Gran Max PU AC PS 1.5</t>
  </si>
  <si>
    <t xml:space="preserve">KT 1167 ZM</t>
  </si>
  <si>
    <t xml:space="preserve">New Nissan X-Trail 2,5 ST A</t>
  </si>
  <si>
    <t xml:space="preserve">PT. NAJ</t>
  </si>
  <si>
    <t xml:space="preserve">B 126 NI</t>
  </si>
  <si>
    <t xml:space="preserve">B 1363 EOD</t>
  </si>
  <si>
    <t xml:space="preserve">Toyota New Avanza 1.3 G M</t>
  </si>
  <si>
    <t xml:space="preserve">DA 1660 BH</t>
  </si>
  <si>
    <t xml:space="preserve">Mitsubishi Pajero Sport 2.4 L Dakar 4X4 A</t>
  </si>
  <si>
    <t xml:space="preserve">DA 7372 BL</t>
  </si>
  <si>
    <t xml:space="preserve">KT 8476 LM</t>
  </si>
  <si>
    <t xml:space="preserve">Daihatsu Gran Max 1.3 Blind Van ACS401RV-BMREJJ</t>
  </si>
  <si>
    <t xml:space="preserve">B 9782 ECB</t>
  </si>
  <si>
    <t xml:space="preserve">DA 8069 BP</t>
  </si>
  <si>
    <t xml:space="preserve">Mitsubishi All New Triton DC GLS 4X4 M</t>
  </si>
  <si>
    <t xml:space="preserve">KT 8430 YH</t>
  </si>
  <si>
    <t xml:space="preserve">Plat Nomor (otomatis)</t>
  </si>
  <si>
    <t xml:space="preserve">Nama Item (otomatis)</t>
  </si>
  <si>
    <t xml:space="preserve">Kapan Terakhir Diganti (Tanggal)</t>
  </si>
  <si>
    <t xml:space="preserve">KM Saat Diganti (opsional)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</si>
</sst>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1F4E5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EAF3EC"/>
        <bgColor rgb="FFFFF9E6"/>
      </patternFill>
    </fill>
    <fill>
      <patternFill patternType="solid">
        <fgColor rgb="FFFFF9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6"/>
      <rgbColor rgb="FFEAF3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7</v>
      </c>
    </row>
    <row r="13" customFormat="false" ht="15" hidden="false" customHeight="false" outlineLevel="0" collapsed="false">
      <c r="A13" s="2" t="s">
        <v>8</v>
      </c>
    </row>
    <row r="14" customFormat="false" ht="15" hidden="false" customHeight="false" outlineLevel="0" collapsed="false">
      <c r="A14" s="2" t="s">
        <v>9</v>
      </c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12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 t="s">
        <v>13</v>
      </c>
    </row>
    <row r="21" customFormat="false" ht="15" hidden="false" customHeight="false" outlineLevel="0" collapsed="false">
      <c r="A21" s="2" t="s">
        <v>14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15</v>
      </c>
    </row>
    <row r="24" customFormat="false" ht="15" hidden="false" customHeight="false" outlineLevel="0" collapsed="false">
      <c r="A24" s="2" t="s">
        <v>16</v>
      </c>
    </row>
    <row r="25" customFormat="false" ht="15" hidden="false" customHeight="false" outlineLevel="0" collapsed="false">
      <c r="A25" s="2" t="s">
        <v>17</v>
      </c>
    </row>
    <row r="26" customFormat="false" ht="15" hidden="false" customHeight="false" outlineLevel="0" collapsed="false">
      <c r="A26" s="2" t="s">
        <v>18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19</v>
      </c>
    </row>
    <row r="2" customFormat="false" ht="15" hidden="false" customHeight="false" outlineLevel="0" collapsed="false">
      <c r="A2" s="0" t="s">
        <v>20</v>
      </c>
    </row>
    <row r="3" customFormat="false" ht="15" hidden="false" customHeight="false" outlineLevel="0" collapsed="false">
      <c r="A3" s="0" t="s">
        <v>21</v>
      </c>
    </row>
    <row r="4" customFormat="false" ht="15" hidden="false" customHeight="false" outlineLevel="0" collapsed="false">
      <c r="A4" s="0" t="s">
        <v>22</v>
      </c>
    </row>
    <row r="5" customFormat="false" ht="15" hidden="false" customHeight="false" outlineLevel="0" collapsed="false">
      <c r="A5" s="0" t="s">
        <v>23</v>
      </c>
    </row>
    <row r="6" customFormat="false" ht="15" hidden="false" customHeight="false" outlineLevel="0" collapsed="false">
      <c r="A6" s="0" t="s">
        <v>24</v>
      </c>
    </row>
    <row r="7" customFormat="false" ht="15" hidden="false" customHeight="false" outlineLevel="0" collapsed="false">
      <c r="A7" s="0" t="s">
        <v>25</v>
      </c>
    </row>
    <row r="8" customFormat="false" ht="15" hidden="false" customHeight="false" outlineLevel="0" collapsed="false">
      <c r="A8" s="0" t="s">
        <v>26</v>
      </c>
    </row>
    <row r="9" customFormat="false" ht="15" hidden="false" customHeight="false" outlineLevel="0" collapsed="false">
      <c r="A9" s="0" t="s">
        <v>27</v>
      </c>
    </row>
    <row r="10" customFormat="false" ht="15" hidden="false" customHeight="false" outlineLevel="0" collapsed="false">
      <c r="A10" s="0" t="s">
        <v>28</v>
      </c>
    </row>
    <row r="11" customFormat="false" ht="15" hidden="false" customHeight="false" outlineLevel="0" collapsed="false">
      <c r="A11" s="0" t="s">
        <v>29</v>
      </c>
    </row>
    <row r="12" customFormat="false" ht="15" hidden="false" customHeight="false" outlineLevel="0" collapsed="false">
      <c r="A12" s="0" t="s">
        <v>30</v>
      </c>
    </row>
    <row r="13" customFormat="false" ht="15" hidden="false" customHeight="false" outlineLevel="0" collapsed="false">
      <c r="A13" s="0" t="s">
        <v>31</v>
      </c>
    </row>
    <row r="14" customFormat="false" ht="15" hidden="false" customHeight="false" outlineLevel="0" collapsed="false">
      <c r="A14" s="0" t="s">
        <v>32</v>
      </c>
    </row>
    <row r="15" customFormat="false" ht="15" hidden="false" customHeight="false" outlineLevel="0" collapsed="false">
      <c r="A15" s="0" t="s">
        <v>33</v>
      </c>
    </row>
    <row r="16" customFormat="false" ht="15" hidden="false" customHeight="false" outlineLevel="0" collapsed="false">
      <c r="A16" s="0" t="s">
        <v>34</v>
      </c>
    </row>
    <row r="17" customFormat="false" ht="15" hidden="false" customHeight="false" outlineLevel="0" collapsed="false">
      <c r="A17" s="0" t="s">
        <v>35</v>
      </c>
    </row>
    <row r="18" customFormat="false" ht="15" hidden="false" customHeight="false" outlineLevel="0" collapsed="false">
      <c r="A18" s="0" t="s">
        <v>36</v>
      </c>
    </row>
    <row r="19" customFormat="false" ht="15" hidden="false" customHeight="false" outlineLevel="0" collapsed="false">
      <c r="A19" s="0" t="s">
        <v>37</v>
      </c>
    </row>
    <row r="20" customFormat="false" ht="15" hidden="false" customHeight="false" outlineLevel="0" collapsed="false">
      <c r="A20" s="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18"/>
  </cols>
  <sheetData>
    <row r="1" customFormat="false" ht="31.5" hidden="false" customHeight="true" outlineLevel="0" collapsed="false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</row>
    <row r="2" customFormat="false" ht="15" hidden="false" customHeight="false" outlineLevel="0" collapsed="false">
      <c r="A2" s="5" t="s">
        <v>45</v>
      </c>
      <c r="B2" s="5" t="s">
        <v>46</v>
      </c>
      <c r="C2" s="5" t="s">
        <v>47</v>
      </c>
      <c r="D2" s="5" t="s">
        <v>48</v>
      </c>
      <c r="E2" s="5" t="s">
        <v>49</v>
      </c>
      <c r="F2" s="5" t="s">
        <v>50</v>
      </c>
    </row>
    <row r="3" customFormat="false" ht="15" hidden="false" customHeight="false" outlineLevel="0" collapsed="false">
      <c r="A3" s="5" t="s">
        <v>45</v>
      </c>
      <c r="B3" s="5" t="s">
        <v>51</v>
      </c>
      <c r="C3" s="5" t="s">
        <v>47</v>
      </c>
      <c r="D3" s="5" t="s">
        <v>48</v>
      </c>
      <c r="E3" s="5" t="s">
        <v>49</v>
      </c>
      <c r="F3" s="5" t="s">
        <v>52</v>
      </c>
    </row>
    <row r="4" customFormat="false" ht="15" hidden="false" customHeight="false" outlineLevel="0" collapsed="false">
      <c r="A4" s="5" t="s">
        <v>45</v>
      </c>
      <c r="B4" s="5" t="s">
        <v>53</v>
      </c>
      <c r="C4" s="5" t="s">
        <v>54</v>
      </c>
      <c r="D4" s="5" t="s">
        <v>48</v>
      </c>
      <c r="E4" s="5" t="s">
        <v>55</v>
      </c>
      <c r="F4" s="5"/>
    </row>
    <row r="5" customFormat="false" ht="15" hidden="false" customHeight="false" outlineLevel="0" collapsed="false">
      <c r="A5" s="5" t="s">
        <v>45</v>
      </c>
      <c r="B5" s="5" t="s">
        <v>56</v>
      </c>
      <c r="C5" s="5" t="s">
        <v>54</v>
      </c>
      <c r="D5" s="5" t="s">
        <v>48</v>
      </c>
      <c r="E5" s="5" t="s">
        <v>55</v>
      </c>
      <c r="F5" s="5"/>
    </row>
    <row r="6" customFormat="false" ht="15" hidden="false" customHeight="false" outlineLevel="0" collapsed="false">
      <c r="A6" s="5" t="s">
        <v>45</v>
      </c>
      <c r="B6" s="5" t="s">
        <v>57</v>
      </c>
      <c r="C6" s="5" t="s">
        <v>54</v>
      </c>
      <c r="D6" s="5" t="s">
        <v>48</v>
      </c>
      <c r="E6" s="5" t="s">
        <v>55</v>
      </c>
      <c r="F6" s="5"/>
    </row>
    <row r="7" customFormat="false" ht="15" hidden="false" customHeight="false" outlineLevel="0" collapsed="false">
      <c r="A7" s="5" t="s">
        <v>45</v>
      </c>
      <c r="B7" s="5" t="s">
        <v>58</v>
      </c>
      <c r="C7" s="5" t="s">
        <v>54</v>
      </c>
      <c r="D7" s="5" t="s">
        <v>48</v>
      </c>
      <c r="E7" s="5" t="s">
        <v>55</v>
      </c>
      <c r="F7" s="5"/>
    </row>
    <row r="8" customFormat="false" ht="15" hidden="false" customHeight="false" outlineLevel="0" collapsed="false">
      <c r="A8" s="5" t="s">
        <v>45</v>
      </c>
      <c r="B8" s="5" t="s">
        <v>59</v>
      </c>
      <c r="C8" s="5" t="s">
        <v>54</v>
      </c>
      <c r="D8" s="5" t="s">
        <v>48</v>
      </c>
      <c r="E8" s="5" t="s">
        <v>55</v>
      </c>
      <c r="F8" s="5"/>
    </row>
    <row r="9" customFormat="false" ht="15" hidden="false" customHeight="false" outlineLevel="0" collapsed="false">
      <c r="A9" s="5" t="s">
        <v>45</v>
      </c>
      <c r="B9" s="5" t="s">
        <v>60</v>
      </c>
      <c r="C9" s="5" t="s">
        <v>54</v>
      </c>
      <c r="D9" s="5" t="s">
        <v>48</v>
      </c>
      <c r="E9" s="5" t="s">
        <v>55</v>
      </c>
      <c r="F9" s="5"/>
    </row>
    <row r="10" customFormat="false" ht="15" hidden="false" customHeight="false" outlineLevel="0" collapsed="false">
      <c r="A10" s="5" t="s">
        <v>45</v>
      </c>
      <c r="B10" s="5" t="s">
        <v>61</v>
      </c>
      <c r="C10" s="5" t="s">
        <v>62</v>
      </c>
      <c r="D10" s="5" t="s">
        <v>48</v>
      </c>
      <c r="E10" s="5" t="s">
        <v>55</v>
      </c>
      <c r="F10" s="5" t="s">
        <v>63</v>
      </c>
    </row>
    <row r="11" customFormat="false" ht="15" hidden="false" customHeight="false" outlineLevel="0" collapsed="false">
      <c r="A11" s="5" t="s">
        <v>45</v>
      </c>
      <c r="B11" s="5" t="s">
        <v>64</v>
      </c>
      <c r="C11" s="5" t="s">
        <v>65</v>
      </c>
      <c r="D11" s="5" t="s">
        <v>48</v>
      </c>
      <c r="E11" s="5" t="s">
        <v>55</v>
      </c>
      <c r="F11" s="5" t="s">
        <v>66</v>
      </c>
    </row>
    <row r="12" customFormat="false" ht="15" hidden="false" customHeight="false" outlineLevel="0" collapsed="false">
      <c r="A12" s="5" t="s">
        <v>45</v>
      </c>
      <c r="B12" s="5" t="s">
        <v>67</v>
      </c>
      <c r="C12" s="5" t="s">
        <v>68</v>
      </c>
      <c r="D12" s="5" t="s">
        <v>69</v>
      </c>
      <c r="E12" s="5" t="s">
        <v>70</v>
      </c>
      <c r="F12" s="5"/>
    </row>
    <row r="13" customFormat="false" ht="15" hidden="false" customHeight="false" outlineLevel="0" collapsed="false">
      <c r="A13" s="5" t="s">
        <v>45</v>
      </c>
      <c r="B13" s="5" t="s">
        <v>71</v>
      </c>
      <c r="C13" s="5" t="s">
        <v>68</v>
      </c>
      <c r="D13" s="5" t="s">
        <v>69</v>
      </c>
      <c r="E13" s="5" t="s">
        <v>70</v>
      </c>
      <c r="F13" s="5"/>
    </row>
    <row r="14" customFormat="false" ht="15" hidden="false" customHeight="false" outlineLevel="0" collapsed="false">
      <c r="A14" s="5" t="s">
        <v>45</v>
      </c>
      <c r="B14" s="5" t="s">
        <v>72</v>
      </c>
      <c r="C14" s="5" t="s">
        <v>73</v>
      </c>
      <c r="D14" s="5" t="s">
        <v>48</v>
      </c>
      <c r="E14" s="5" t="s">
        <v>74</v>
      </c>
      <c r="F14" s="5"/>
    </row>
    <row r="15" customFormat="false" ht="15" hidden="false" customHeight="false" outlineLevel="0" collapsed="false">
      <c r="A15" s="5" t="s">
        <v>75</v>
      </c>
      <c r="B15" s="5" t="s">
        <v>76</v>
      </c>
      <c r="C15" s="5" t="s">
        <v>77</v>
      </c>
      <c r="D15" s="5" t="s">
        <v>48</v>
      </c>
      <c r="E15" s="5" t="s">
        <v>74</v>
      </c>
      <c r="F15" s="5"/>
    </row>
    <row r="16" customFormat="false" ht="15" hidden="false" customHeight="false" outlineLevel="0" collapsed="false">
      <c r="A16" s="5" t="s">
        <v>78</v>
      </c>
      <c r="B16" s="5" t="s">
        <v>79</v>
      </c>
      <c r="C16" s="5" t="s">
        <v>80</v>
      </c>
      <c r="D16" s="5" t="s">
        <v>48</v>
      </c>
      <c r="E16" s="5" t="s">
        <v>81</v>
      </c>
      <c r="F16" s="5"/>
    </row>
    <row r="17" customFormat="false" ht="15" hidden="false" customHeight="false" outlineLevel="0" collapsed="false">
      <c r="A17" s="5" t="s">
        <v>78</v>
      </c>
      <c r="B17" s="5" t="s">
        <v>82</v>
      </c>
      <c r="C17" s="5" t="s">
        <v>83</v>
      </c>
      <c r="D17" s="5" t="s">
        <v>48</v>
      </c>
      <c r="E17" s="5" t="s">
        <v>81</v>
      </c>
      <c r="F17" s="5"/>
    </row>
    <row r="18" customFormat="false" ht="15" hidden="false" customHeight="false" outlineLevel="0" collapsed="false">
      <c r="A18" s="5" t="s">
        <v>78</v>
      </c>
      <c r="B18" s="5" t="s">
        <v>84</v>
      </c>
      <c r="C18" s="5" t="s">
        <v>85</v>
      </c>
      <c r="D18" s="5" t="s">
        <v>48</v>
      </c>
      <c r="E18" s="5" t="s">
        <v>81</v>
      </c>
      <c r="F18" s="5"/>
    </row>
    <row r="19" customFormat="false" ht="15" hidden="false" customHeight="false" outlineLevel="0" collapsed="false">
      <c r="A19" s="5" t="s">
        <v>78</v>
      </c>
      <c r="B19" s="5" t="s">
        <v>86</v>
      </c>
      <c r="C19" s="5" t="s">
        <v>87</v>
      </c>
      <c r="D19" s="5" t="s">
        <v>48</v>
      </c>
      <c r="E19" s="5" t="s">
        <v>81</v>
      </c>
      <c r="F19" s="5"/>
    </row>
    <row r="20" customFormat="false" ht="15" hidden="false" customHeight="false" outlineLevel="0" collapsed="false">
      <c r="A20" s="5" t="s">
        <v>78</v>
      </c>
      <c r="B20" s="5" t="s">
        <v>88</v>
      </c>
      <c r="C20" s="5" t="s">
        <v>89</v>
      </c>
      <c r="D20" s="5" t="s">
        <v>48</v>
      </c>
      <c r="E20" s="5" t="s">
        <v>81</v>
      </c>
      <c r="F20" s="5"/>
    </row>
    <row r="21" customFormat="false" ht="15" hidden="false" customHeight="false" outlineLevel="0" collapsed="false">
      <c r="A21" s="5" t="s">
        <v>78</v>
      </c>
      <c r="B21" s="5" t="s">
        <v>90</v>
      </c>
      <c r="C21" s="5" t="s">
        <v>91</v>
      </c>
      <c r="D21" s="5" t="s">
        <v>48</v>
      </c>
      <c r="E21" s="5" t="s">
        <v>92</v>
      </c>
      <c r="F21" s="5"/>
    </row>
    <row r="22" customFormat="false" ht="15" hidden="false" customHeight="false" outlineLevel="0" collapsed="false">
      <c r="A22" s="5" t="s">
        <v>75</v>
      </c>
      <c r="B22" s="5" t="s">
        <v>93</v>
      </c>
      <c r="C22" s="5" t="s">
        <v>94</v>
      </c>
      <c r="D22" s="5" t="s">
        <v>69</v>
      </c>
      <c r="E22" s="5" t="s">
        <v>74</v>
      </c>
      <c r="F22" s="5" t="s">
        <v>95</v>
      </c>
    </row>
    <row r="23" customFormat="false" ht="15" hidden="false" customHeight="false" outlineLevel="0" collapsed="false">
      <c r="A23" s="5" t="s">
        <v>96</v>
      </c>
      <c r="B23" s="5" t="s">
        <v>97</v>
      </c>
      <c r="C23" s="5" t="s">
        <v>98</v>
      </c>
      <c r="D23" s="5" t="s">
        <v>48</v>
      </c>
      <c r="E23" s="5" t="s">
        <v>92</v>
      </c>
      <c r="F23" s="5" t="s">
        <v>99</v>
      </c>
    </row>
    <row r="24" customFormat="false" ht="15" hidden="false" customHeight="false" outlineLevel="0" collapsed="false">
      <c r="A24" s="5" t="s">
        <v>45</v>
      </c>
      <c r="B24" s="5" t="s">
        <v>100</v>
      </c>
      <c r="C24" s="5" t="s">
        <v>77</v>
      </c>
      <c r="D24" s="5" t="s">
        <v>48</v>
      </c>
      <c r="E24" s="5" t="s">
        <v>92</v>
      </c>
      <c r="F24" s="5"/>
    </row>
    <row r="25" customFormat="false" ht="15" hidden="false" customHeight="false" outlineLevel="0" collapsed="false">
      <c r="A25" s="5" t="s">
        <v>101</v>
      </c>
      <c r="B25" s="5" t="s">
        <v>102</v>
      </c>
      <c r="C25" s="5" t="s">
        <v>103</v>
      </c>
      <c r="D25" s="5" t="s">
        <v>48</v>
      </c>
      <c r="E25" s="5" t="s">
        <v>55</v>
      </c>
      <c r="F25" s="5"/>
    </row>
    <row r="26" customFormat="false" ht="15" hidden="false" customHeight="false" outlineLevel="0" collapsed="false">
      <c r="A26" s="5" t="s">
        <v>101</v>
      </c>
      <c r="B26" s="5" t="s">
        <v>104</v>
      </c>
      <c r="C26" s="5" t="s">
        <v>105</v>
      </c>
      <c r="D26" s="5" t="s">
        <v>48</v>
      </c>
      <c r="E26" s="5" t="s">
        <v>55</v>
      </c>
      <c r="F26" s="5"/>
    </row>
    <row r="27" customFormat="false" ht="15" hidden="false" customHeight="false" outlineLevel="0" collapsed="false">
      <c r="A27" s="5" t="s">
        <v>101</v>
      </c>
      <c r="B27" s="5" t="s">
        <v>106</v>
      </c>
      <c r="C27" s="5" t="s">
        <v>105</v>
      </c>
      <c r="D27" s="5" t="s">
        <v>48</v>
      </c>
      <c r="E27" s="5" t="s">
        <v>55</v>
      </c>
      <c r="F27" s="5"/>
    </row>
    <row r="28" customFormat="false" ht="15" hidden="false" customHeight="false" outlineLevel="0" collapsed="false">
      <c r="A28" s="5" t="s">
        <v>101</v>
      </c>
      <c r="B28" s="5" t="s">
        <v>107</v>
      </c>
      <c r="C28" s="5" t="s">
        <v>105</v>
      </c>
      <c r="D28" s="5" t="s">
        <v>48</v>
      </c>
      <c r="E28" s="5" t="s">
        <v>55</v>
      </c>
      <c r="F28" s="5"/>
    </row>
    <row r="29" customFormat="false" ht="15" hidden="false" customHeight="false" outlineLevel="0" collapsed="false">
      <c r="A29" s="5" t="s">
        <v>101</v>
      </c>
      <c r="B29" s="5" t="s">
        <v>108</v>
      </c>
      <c r="C29" s="5" t="s">
        <v>105</v>
      </c>
      <c r="D29" s="5" t="s">
        <v>48</v>
      </c>
      <c r="E29" s="5" t="s">
        <v>55</v>
      </c>
      <c r="F29" s="5"/>
    </row>
    <row r="30" customFormat="false" ht="15" hidden="false" customHeight="false" outlineLevel="0" collapsed="false">
      <c r="A30" s="5" t="s">
        <v>101</v>
      </c>
      <c r="B30" s="5" t="s">
        <v>109</v>
      </c>
      <c r="C30" s="5" t="s">
        <v>105</v>
      </c>
      <c r="D30" s="5" t="s">
        <v>48</v>
      </c>
      <c r="E30" s="5" t="s">
        <v>55</v>
      </c>
      <c r="F30" s="5"/>
    </row>
    <row r="31" customFormat="false" ht="15" hidden="false" customHeight="false" outlineLevel="0" collapsed="false">
      <c r="A31" s="5" t="s">
        <v>101</v>
      </c>
      <c r="B31" s="5" t="s">
        <v>110</v>
      </c>
      <c r="C31" s="5" t="s">
        <v>111</v>
      </c>
      <c r="D31" s="5" t="s">
        <v>48</v>
      </c>
      <c r="E31" s="5" t="s">
        <v>55</v>
      </c>
      <c r="F31" s="5"/>
    </row>
    <row r="32" customFormat="false" ht="15" hidden="false" customHeight="false" outlineLevel="0" collapsed="false">
      <c r="A32" s="5" t="s">
        <v>101</v>
      </c>
      <c r="B32" s="5" t="s">
        <v>112</v>
      </c>
      <c r="C32" s="5" t="s">
        <v>113</v>
      </c>
      <c r="D32" s="5" t="s">
        <v>48</v>
      </c>
      <c r="E32" s="5" t="s">
        <v>55</v>
      </c>
      <c r="F32" s="5"/>
    </row>
    <row r="33" customFormat="false" ht="15" hidden="false" customHeight="false" outlineLevel="0" collapsed="false">
      <c r="A33" s="5" t="s">
        <v>101</v>
      </c>
      <c r="B33" s="5" t="s">
        <v>114</v>
      </c>
      <c r="C33" s="5" t="s">
        <v>115</v>
      </c>
      <c r="D33" s="5" t="s">
        <v>48</v>
      </c>
      <c r="E33" s="5" t="s">
        <v>116</v>
      </c>
      <c r="F33" s="5"/>
    </row>
    <row r="34" customFormat="false" ht="15" hidden="false" customHeight="false" outlineLevel="0" collapsed="false">
      <c r="A34" s="5" t="s">
        <v>101</v>
      </c>
      <c r="B34" s="5" t="s">
        <v>117</v>
      </c>
      <c r="C34" s="5" t="s">
        <v>118</v>
      </c>
      <c r="D34" s="5" t="s">
        <v>48</v>
      </c>
      <c r="E34" s="5" t="s">
        <v>116</v>
      </c>
      <c r="F34" s="5"/>
    </row>
    <row r="35" customFormat="false" ht="15" hidden="false" customHeight="false" outlineLevel="0" collapsed="false">
      <c r="A35" s="5" t="s">
        <v>119</v>
      </c>
      <c r="B35" s="5" t="s">
        <v>120</v>
      </c>
      <c r="C35" s="5" t="s">
        <v>105</v>
      </c>
      <c r="D35" s="5" t="s">
        <v>48</v>
      </c>
      <c r="E35" s="5" t="s">
        <v>121</v>
      </c>
      <c r="F35" s="5"/>
    </row>
    <row r="36" customFormat="false" ht="15" hidden="false" customHeight="false" outlineLevel="0" collapsed="false">
      <c r="A36" s="5" t="s">
        <v>119</v>
      </c>
      <c r="B36" s="5" t="s">
        <v>122</v>
      </c>
      <c r="C36" s="5" t="s">
        <v>105</v>
      </c>
      <c r="D36" s="5" t="s">
        <v>48</v>
      </c>
      <c r="E36" s="5" t="s">
        <v>121</v>
      </c>
      <c r="F36" s="5"/>
    </row>
    <row r="37" customFormat="false" ht="15" hidden="false" customHeight="false" outlineLevel="0" collapsed="false">
      <c r="A37" s="5" t="s">
        <v>119</v>
      </c>
      <c r="B37" s="5" t="s">
        <v>123</v>
      </c>
      <c r="C37" s="5" t="s">
        <v>124</v>
      </c>
      <c r="D37" s="5" t="s">
        <v>48</v>
      </c>
      <c r="E37" s="5" t="s">
        <v>121</v>
      </c>
      <c r="F37" s="5"/>
    </row>
    <row r="38" customFormat="false" ht="15" hidden="false" customHeight="false" outlineLevel="0" collapsed="false">
      <c r="A38" s="5" t="s">
        <v>119</v>
      </c>
      <c r="B38" s="5" t="s">
        <v>125</v>
      </c>
      <c r="C38" s="5" t="s">
        <v>126</v>
      </c>
      <c r="D38" s="5" t="s">
        <v>48</v>
      </c>
      <c r="E38" s="5" t="s">
        <v>121</v>
      </c>
      <c r="F38" s="5"/>
    </row>
    <row r="39" customFormat="false" ht="15" hidden="false" customHeight="false" outlineLevel="0" collapsed="false">
      <c r="A39" s="5" t="s">
        <v>119</v>
      </c>
      <c r="B39" s="5" t="s">
        <v>127</v>
      </c>
      <c r="C39" s="5" t="s">
        <v>54</v>
      </c>
      <c r="D39" s="5" t="s">
        <v>48</v>
      </c>
      <c r="E39" s="5" t="s">
        <v>121</v>
      </c>
      <c r="F39" s="5"/>
    </row>
    <row r="40" customFormat="false" ht="15" hidden="false" customHeight="false" outlineLevel="0" collapsed="false">
      <c r="A40" s="5" t="s">
        <v>119</v>
      </c>
      <c r="B40" s="5" t="s">
        <v>128</v>
      </c>
      <c r="C40" s="5" t="s">
        <v>54</v>
      </c>
      <c r="D40" s="5" t="s">
        <v>48</v>
      </c>
      <c r="E40" s="5" t="s">
        <v>121</v>
      </c>
      <c r="F40" s="5"/>
    </row>
    <row r="41" customFormat="false" ht="15" hidden="false" customHeight="false" outlineLevel="0" collapsed="false">
      <c r="A41" s="5" t="s">
        <v>119</v>
      </c>
      <c r="B41" s="5" t="s">
        <v>129</v>
      </c>
      <c r="C41" s="5" t="s">
        <v>130</v>
      </c>
      <c r="D41" s="5" t="s">
        <v>48</v>
      </c>
      <c r="E41" s="5" t="s">
        <v>121</v>
      </c>
      <c r="F41" s="5"/>
    </row>
    <row r="42" customFormat="false" ht="15" hidden="false" customHeight="false" outlineLevel="0" collapsed="false">
      <c r="A42" s="5" t="s">
        <v>119</v>
      </c>
      <c r="B42" s="5" t="s">
        <v>131</v>
      </c>
      <c r="C42" s="5" t="s">
        <v>132</v>
      </c>
      <c r="D42" s="5" t="s">
        <v>48</v>
      </c>
      <c r="E42" s="5" t="s">
        <v>121</v>
      </c>
      <c r="F42" s="5" t="s">
        <v>133</v>
      </c>
    </row>
    <row r="43" customFormat="false" ht="15" hidden="false" customHeight="false" outlineLevel="0" collapsed="false">
      <c r="A43" s="5" t="s">
        <v>119</v>
      </c>
      <c r="B43" s="5" t="s">
        <v>134</v>
      </c>
      <c r="C43" s="5" t="s">
        <v>54</v>
      </c>
      <c r="D43" s="5" t="s">
        <v>48</v>
      </c>
      <c r="E43" s="5" t="s">
        <v>121</v>
      </c>
      <c r="F43" s="5" t="s">
        <v>135</v>
      </c>
    </row>
    <row r="44" customFormat="false" ht="15" hidden="false" customHeight="false" outlineLevel="0" collapsed="false">
      <c r="A44" s="5" t="s">
        <v>119</v>
      </c>
      <c r="B44" s="5" t="s">
        <v>136</v>
      </c>
      <c r="C44" s="5" t="s">
        <v>54</v>
      </c>
      <c r="D44" s="5" t="s">
        <v>48</v>
      </c>
      <c r="E44" s="5" t="s">
        <v>121</v>
      </c>
      <c r="F44" s="5" t="s">
        <v>137</v>
      </c>
    </row>
    <row r="45" customFormat="false" ht="15" hidden="false" customHeight="false" outlineLevel="0" collapsed="false">
      <c r="A45" s="5" t="s">
        <v>119</v>
      </c>
      <c r="B45" s="5" t="s">
        <v>138</v>
      </c>
      <c r="C45" s="5" t="s">
        <v>54</v>
      </c>
      <c r="D45" s="5" t="s">
        <v>48</v>
      </c>
      <c r="E45" s="5" t="s">
        <v>121</v>
      </c>
      <c r="F45" s="5" t="s">
        <v>139</v>
      </c>
    </row>
    <row r="46" customFormat="false" ht="15" hidden="false" customHeight="false" outlineLevel="0" collapsed="false">
      <c r="A46" s="5" t="s">
        <v>119</v>
      </c>
      <c r="B46" s="5" t="s">
        <v>140</v>
      </c>
      <c r="C46" s="5" t="s">
        <v>141</v>
      </c>
      <c r="D46" s="5" t="s">
        <v>48</v>
      </c>
      <c r="E46" s="5" t="s">
        <v>121</v>
      </c>
      <c r="F46" s="5"/>
    </row>
    <row r="47" customFormat="false" ht="15" hidden="false" customHeight="false" outlineLevel="0" collapsed="false">
      <c r="A47" s="5" t="s">
        <v>119</v>
      </c>
      <c r="B47" s="5" t="s">
        <v>142</v>
      </c>
      <c r="C47" s="5" t="s">
        <v>141</v>
      </c>
      <c r="D47" s="5" t="s">
        <v>48</v>
      </c>
      <c r="E47" s="5" t="s">
        <v>121</v>
      </c>
      <c r="F47" s="5"/>
    </row>
    <row r="48" customFormat="false" ht="15" hidden="false" customHeight="false" outlineLevel="0" collapsed="false">
      <c r="A48" s="5" t="s">
        <v>119</v>
      </c>
      <c r="B48" s="5" t="s">
        <v>143</v>
      </c>
      <c r="C48" s="5" t="s">
        <v>54</v>
      </c>
      <c r="D48" s="5" t="s">
        <v>48</v>
      </c>
      <c r="E48" s="5" t="s">
        <v>121</v>
      </c>
      <c r="F48" s="5"/>
    </row>
    <row r="49" customFormat="false" ht="15" hidden="false" customHeight="false" outlineLevel="0" collapsed="false">
      <c r="A49" s="5" t="s">
        <v>119</v>
      </c>
      <c r="B49" s="5" t="s">
        <v>144</v>
      </c>
      <c r="C49" s="5" t="s">
        <v>54</v>
      </c>
      <c r="D49" s="5" t="s">
        <v>48</v>
      </c>
      <c r="E49" s="5" t="s">
        <v>121</v>
      </c>
      <c r="F49" s="5"/>
    </row>
    <row r="50" customFormat="false" ht="15" hidden="false" customHeight="false" outlineLevel="0" collapsed="false">
      <c r="A50" s="5" t="s">
        <v>119</v>
      </c>
      <c r="B50" s="5" t="s">
        <v>145</v>
      </c>
      <c r="C50" s="5" t="s">
        <v>54</v>
      </c>
      <c r="D50" s="5" t="s">
        <v>48</v>
      </c>
      <c r="E50" s="5" t="s">
        <v>121</v>
      </c>
      <c r="F50" s="5"/>
    </row>
    <row r="51" customFormat="false" ht="15" hidden="false" customHeight="false" outlineLevel="0" collapsed="false">
      <c r="A51" s="5" t="s">
        <v>119</v>
      </c>
      <c r="B51" s="5" t="s">
        <v>146</v>
      </c>
      <c r="C51" s="5" t="s">
        <v>54</v>
      </c>
      <c r="D51" s="5" t="s">
        <v>48</v>
      </c>
      <c r="E51" s="5" t="s">
        <v>121</v>
      </c>
      <c r="F51" s="5"/>
    </row>
    <row r="52" customFormat="false" ht="15" hidden="false" customHeight="false" outlineLevel="0" collapsed="false">
      <c r="A52" s="5" t="s">
        <v>119</v>
      </c>
      <c r="B52" s="5" t="s">
        <v>147</v>
      </c>
      <c r="C52" s="5" t="s">
        <v>132</v>
      </c>
      <c r="D52" s="5" t="s">
        <v>48</v>
      </c>
      <c r="E52" s="5" t="s">
        <v>121</v>
      </c>
      <c r="F52" s="5" t="s">
        <v>148</v>
      </c>
    </row>
    <row r="53" customFormat="false" ht="15" hidden="false" customHeight="false" outlineLevel="0" collapsed="false">
      <c r="A53" s="5" t="s">
        <v>119</v>
      </c>
      <c r="B53" s="5" t="s">
        <v>149</v>
      </c>
      <c r="C53" s="5" t="s">
        <v>150</v>
      </c>
      <c r="D53" s="5" t="s">
        <v>151</v>
      </c>
      <c r="E53" s="5" t="s">
        <v>121</v>
      </c>
      <c r="F53" s="5"/>
    </row>
    <row r="54" customFormat="false" ht="15" hidden="false" customHeight="false" outlineLevel="0" collapsed="false">
      <c r="A54" s="5" t="s">
        <v>119</v>
      </c>
      <c r="B54" s="5" t="s">
        <v>152</v>
      </c>
      <c r="C54" s="5" t="s">
        <v>150</v>
      </c>
      <c r="D54" s="5" t="s">
        <v>151</v>
      </c>
      <c r="E54" s="5" t="s">
        <v>121</v>
      </c>
      <c r="F54" s="5"/>
    </row>
    <row r="55" customFormat="false" ht="15" hidden="false" customHeight="false" outlineLevel="0" collapsed="false">
      <c r="A55" s="5" t="s">
        <v>119</v>
      </c>
      <c r="B55" s="5" t="s">
        <v>153</v>
      </c>
      <c r="C55" s="5" t="s">
        <v>54</v>
      </c>
      <c r="D55" s="5" t="s">
        <v>48</v>
      </c>
      <c r="E55" s="5" t="s">
        <v>121</v>
      </c>
      <c r="F55" s="5"/>
    </row>
    <row r="56" customFormat="false" ht="15" hidden="false" customHeight="false" outlineLevel="0" collapsed="false">
      <c r="A56" s="5" t="s">
        <v>119</v>
      </c>
      <c r="B56" s="5" t="s">
        <v>154</v>
      </c>
      <c r="C56" s="5" t="s">
        <v>54</v>
      </c>
      <c r="D56" s="5" t="s">
        <v>48</v>
      </c>
      <c r="E56" s="5" t="s">
        <v>121</v>
      </c>
      <c r="F56" s="5"/>
    </row>
    <row r="57" customFormat="false" ht="15" hidden="false" customHeight="false" outlineLevel="0" collapsed="false">
      <c r="A57" s="5" t="s">
        <v>119</v>
      </c>
      <c r="B57" s="5" t="s">
        <v>155</v>
      </c>
      <c r="C57" s="5" t="s">
        <v>54</v>
      </c>
      <c r="D57" s="5" t="s">
        <v>48</v>
      </c>
      <c r="E57" s="5" t="s">
        <v>121</v>
      </c>
      <c r="F57" s="5"/>
    </row>
    <row r="58" customFormat="false" ht="15" hidden="false" customHeight="false" outlineLevel="0" collapsed="false">
      <c r="A58" s="5" t="s">
        <v>119</v>
      </c>
      <c r="B58" s="5" t="s">
        <v>156</v>
      </c>
      <c r="C58" s="5" t="s">
        <v>77</v>
      </c>
      <c r="D58" s="5" t="s">
        <v>48</v>
      </c>
      <c r="E58" s="5" t="s">
        <v>121</v>
      </c>
      <c r="F58" s="5"/>
    </row>
    <row r="59" customFormat="false" ht="15" hidden="false" customHeight="false" outlineLevel="0" collapsed="false">
      <c r="A59" s="5" t="s">
        <v>119</v>
      </c>
      <c r="B59" s="5" t="s">
        <v>157</v>
      </c>
      <c r="C59" s="5" t="s">
        <v>158</v>
      </c>
      <c r="D59" s="5" t="s">
        <v>48</v>
      </c>
      <c r="E59" s="5" t="s">
        <v>74</v>
      </c>
      <c r="F59" s="5"/>
    </row>
    <row r="60" customFormat="false" ht="15" hidden="false" customHeight="false" outlineLevel="0" collapsed="false">
      <c r="A60" s="5" t="s">
        <v>119</v>
      </c>
      <c r="B60" s="5" t="s">
        <v>159</v>
      </c>
      <c r="C60" s="5" t="s">
        <v>160</v>
      </c>
      <c r="D60" s="5" t="s">
        <v>48</v>
      </c>
      <c r="E60" s="5" t="s">
        <v>92</v>
      </c>
      <c r="F60" s="5"/>
    </row>
    <row r="61" customFormat="false" ht="15" hidden="false" customHeight="false" outlineLevel="0" collapsed="false">
      <c r="A61" s="5" t="s">
        <v>119</v>
      </c>
      <c r="B61" s="5" t="s">
        <v>161</v>
      </c>
      <c r="C61" s="5" t="s">
        <v>162</v>
      </c>
      <c r="D61" s="5" t="s">
        <v>48</v>
      </c>
      <c r="E61" s="5" t="s">
        <v>92</v>
      </c>
      <c r="F61" s="5"/>
    </row>
    <row r="62" customFormat="false" ht="15" hidden="false" customHeight="false" outlineLevel="0" collapsed="false">
      <c r="A62" s="5" t="s">
        <v>119</v>
      </c>
      <c r="B62" s="5" t="s">
        <v>163</v>
      </c>
      <c r="C62" s="5" t="s">
        <v>160</v>
      </c>
      <c r="D62" s="5" t="s">
        <v>48</v>
      </c>
      <c r="E62" s="5" t="s">
        <v>92</v>
      </c>
      <c r="F62" s="5"/>
    </row>
    <row r="63" customFormat="false" ht="15" hidden="false" customHeight="false" outlineLevel="0" collapsed="false">
      <c r="A63" s="5" t="s">
        <v>119</v>
      </c>
      <c r="B63" s="5" t="s">
        <v>164</v>
      </c>
      <c r="C63" s="5" t="s">
        <v>158</v>
      </c>
      <c r="D63" s="5" t="s">
        <v>48</v>
      </c>
      <c r="E63" s="5" t="s">
        <v>92</v>
      </c>
      <c r="F63" s="5"/>
    </row>
    <row r="64" customFormat="false" ht="15" hidden="false" customHeight="false" outlineLevel="0" collapsed="false">
      <c r="A64" s="5" t="s">
        <v>119</v>
      </c>
      <c r="B64" s="5" t="s">
        <v>165</v>
      </c>
      <c r="C64" s="5" t="s">
        <v>166</v>
      </c>
      <c r="D64" s="5" t="s">
        <v>48</v>
      </c>
      <c r="E64" s="5" t="s">
        <v>92</v>
      </c>
      <c r="F64" s="5"/>
    </row>
    <row r="65" customFormat="false" ht="15" hidden="false" customHeight="false" outlineLevel="0" collapsed="false">
      <c r="A65" s="5" t="s">
        <v>119</v>
      </c>
      <c r="B65" s="5" t="s">
        <v>167</v>
      </c>
      <c r="C65" s="5" t="s">
        <v>168</v>
      </c>
      <c r="D65" s="5" t="s">
        <v>48</v>
      </c>
      <c r="E65" s="5" t="s">
        <v>92</v>
      </c>
      <c r="F65" s="5" t="s">
        <v>169</v>
      </c>
    </row>
    <row r="66" customFormat="false" ht="15" hidden="false" customHeight="false" outlineLevel="0" collapsed="false">
      <c r="A66" s="5" t="s">
        <v>170</v>
      </c>
      <c r="B66" s="5" t="s">
        <v>171</v>
      </c>
      <c r="C66" s="5" t="s">
        <v>172</v>
      </c>
      <c r="D66" s="5" t="s">
        <v>48</v>
      </c>
      <c r="E66" s="5" t="s">
        <v>92</v>
      </c>
      <c r="F66" s="5"/>
    </row>
    <row r="67" customFormat="false" ht="15" hidden="false" customHeight="false" outlineLevel="0" collapsed="false">
      <c r="A67" s="5" t="s">
        <v>173</v>
      </c>
      <c r="B67" s="5" t="s">
        <v>174</v>
      </c>
      <c r="C67" s="5" t="s">
        <v>105</v>
      </c>
      <c r="D67" s="5" t="s">
        <v>48</v>
      </c>
      <c r="E67" s="5" t="s">
        <v>55</v>
      </c>
      <c r="F67" s="5"/>
    </row>
    <row r="68" customFormat="false" ht="15" hidden="false" customHeight="false" outlineLevel="0" collapsed="false">
      <c r="A68" s="5" t="s">
        <v>173</v>
      </c>
      <c r="B68" s="5" t="s">
        <v>175</v>
      </c>
      <c r="C68" s="5" t="s">
        <v>105</v>
      </c>
      <c r="D68" s="5" t="s">
        <v>48</v>
      </c>
      <c r="E68" s="5" t="s">
        <v>55</v>
      </c>
      <c r="F68" s="5"/>
    </row>
    <row r="69" customFormat="false" ht="15" hidden="false" customHeight="false" outlineLevel="0" collapsed="false">
      <c r="A69" s="5" t="s">
        <v>173</v>
      </c>
      <c r="B69" s="5" t="s">
        <v>176</v>
      </c>
      <c r="C69" s="5" t="s">
        <v>105</v>
      </c>
      <c r="D69" s="5" t="s">
        <v>48</v>
      </c>
      <c r="E69" s="5" t="s">
        <v>55</v>
      </c>
      <c r="F69" s="5"/>
    </row>
    <row r="70" customFormat="false" ht="15" hidden="false" customHeight="false" outlineLevel="0" collapsed="false">
      <c r="A70" s="5" t="s">
        <v>173</v>
      </c>
      <c r="B70" s="5" t="s">
        <v>177</v>
      </c>
      <c r="C70" s="5" t="s">
        <v>105</v>
      </c>
      <c r="D70" s="5" t="s">
        <v>48</v>
      </c>
      <c r="E70" s="5" t="s">
        <v>55</v>
      </c>
      <c r="F70" s="5"/>
    </row>
    <row r="71" customFormat="false" ht="15" hidden="false" customHeight="false" outlineLevel="0" collapsed="false">
      <c r="A71" s="5" t="s">
        <v>173</v>
      </c>
      <c r="B71" s="5" t="s">
        <v>178</v>
      </c>
      <c r="C71" s="5" t="s">
        <v>105</v>
      </c>
      <c r="D71" s="5" t="s">
        <v>48</v>
      </c>
      <c r="E71" s="5" t="s">
        <v>55</v>
      </c>
      <c r="F71" s="5"/>
    </row>
    <row r="72" customFormat="false" ht="15" hidden="false" customHeight="false" outlineLevel="0" collapsed="false">
      <c r="A72" s="5" t="s">
        <v>173</v>
      </c>
      <c r="B72" s="5" t="s">
        <v>179</v>
      </c>
      <c r="C72" s="5" t="s">
        <v>105</v>
      </c>
      <c r="D72" s="5" t="s">
        <v>48</v>
      </c>
      <c r="E72" s="5" t="s">
        <v>55</v>
      </c>
      <c r="F72" s="5"/>
    </row>
    <row r="73" customFormat="false" ht="15" hidden="false" customHeight="false" outlineLevel="0" collapsed="false">
      <c r="A73" s="5" t="s">
        <v>173</v>
      </c>
      <c r="B73" s="5" t="s">
        <v>180</v>
      </c>
      <c r="C73" s="5" t="s">
        <v>105</v>
      </c>
      <c r="D73" s="5" t="s">
        <v>48</v>
      </c>
      <c r="E73" s="5" t="s">
        <v>55</v>
      </c>
      <c r="F73" s="5"/>
    </row>
    <row r="74" customFormat="false" ht="15" hidden="false" customHeight="false" outlineLevel="0" collapsed="false">
      <c r="A74" s="5" t="s">
        <v>173</v>
      </c>
      <c r="B74" s="5" t="s">
        <v>181</v>
      </c>
      <c r="C74" s="5" t="s">
        <v>105</v>
      </c>
      <c r="D74" s="5" t="s">
        <v>48</v>
      </c>
      <c r="E74" s="5" t="s">
        <v>55</v>
      </c>
      <c r="F74" s="5"/>
    </row>
    <row r="75" customFormat="false" ht="15" hidden="false" customHeight="false" outlineLevel="0" collapsed="false">
      <c r="A75" s="5" t="s">
        <v>173</v>
      </c>
      <c r="B75" s="5" t="s">
        <v>182</v>
      </c>
      <c r="C75" s="5" t="s">
        <v>105</v>
      </c>
      <c r="D75" s="5" t="s">
        <v>48</v>
      </c>
      <c r="E75" s="5" t="s">
        <v>55</v>
      </c>
      <c r="F75" s="5"/>
    </row>
    <row r="76" customFormat="false" ht="15" hidden="false" customHeight="false" outlineLevel="0" collapsed="false">
      <c r="A76" s="5" t="s">
        <v>173</v>
      </c>
      <c r="B76" s="5" t="s">
        <v>183</v>
      </c>
      <c r="C76" s="5" t="s">
        <v>105</v>
      </c>
      <c r="D76" s="5" t="s">
        <v>48</v>
      </c>
      <c r="E76" s="5" t="s">
        <v>55</v>
      </c>
      <c r="F76" s="5"/>
    </row>
    <row r="77" customFormat="false" ht="15" hidden="false" customHeight="false" outlineLevel="0" collapsed="false">
      <c r="A77" s="5" t="s">
        <v>173</v>
      </c>
      <c r="B77" s="5" t="s">
        <v>184</v>
      </c>
      <c r="C77" s="5" t="s">
        <v>105</v>
      </c>
      <c r="D77" s="5" t="s">
        <v>48</v>
      </c>
      <c r="E77" s="5" t="s">
        <v>55</v>
      </c>
      <c r="F77" s="5"/>
    </row>
    <row r="78" customFormat="false" ht="15" hidden="false" customHeight="false" outlineLevel="0" collapsed="false">
      <c r="A78" s="5" t="s">
        <v>173</v>
      </c>
      <c r="B78" s="5" t="s">
        <v>185</v>
      </c>
      <c r="C78" s="5" t="s">
        <v>105</v>
      </c>
      <c r="D78" s="5" t="s">
        <v>48</v>
      </c>
      <c r="E78" s="5" t="s">
        <v>55</v>
      </c>
      <c r="F78" s="5"/>
    </row>
    <row r="79" customFormat="false" ht="15" hidden="false" customHeight="false" outlineLevel="0" collapsed="false">
      <c r="A79" s="5" t="s">
        <v>173</v>
      </c>
      <c r="B79" s="5" t="s">
        <v>186</v>
      </c>
      <c r="C79" s="5" t="s">
        <v>105</v>
      </c>
      <c r="D79" s="5" t="s">
        <v>48</v>
      </c>
      <c r="E79" s="5" t="s">
        <v>55</v>
      </c>
      <c r="F79" s="5"/>
    </row>
    <row r="80" customFormat="false" ht="15" hidden="false" customHeight="false" outlineLevel="0" collapsed="false">
      <c r="A80" s="5" t="s">
        <v>173</v>
      </c>
      <c r="B80" s="5" t="s">
        <v>187</v>
      </c>
      <c r="C80" s="5" t="s">
        <v>105</v>
      </c>
      <c r="D80" s="5" t="s">
        <v>48</v>
      </c>
      <c r="E80" s="5" t="s">
        <v>55</v>
      </c>
      <c r="F80" s="5"/>
    </row>
    <row r="81" customFormat="false" ht="15" hidden="false" customHeight="false" outlineLevel="0" collapsed="false">
      <c r="A81" s="5" t="s">
        <v>188</v>
      </c>
      <c r="B81" s="5" t="s">
        <v>189</v>
      </c>
      <c r="C81" s="5" t="s">
        <v>105</v>
      </c>
      <c r="D81" s="5" t="s">
        <v>48</v>
      </c>
      <c r="E81" s="5" t="s">
        <v>190</v>
      </c>
      <c r="F81" s="5"/>
    </row>
    <row r="82" customFormat="false" ht="15" hidden="false" customHeight="false" outlineLevel="0" collapsed="false">
      <c r="A82" s="5" t="s">
        <v>188</v>
      </c>
      <c r="B82" s="5" t="s">
        <v>191</v>
      </c>
      <c r="C82" s="5" t="s">
        <v>105</v>
      </c>
      <c r="D82" s="5" t="s">
        <v>48</v>
      </c>
      <c r="E82" s="5" t="s">
        <v>190</v>
      </c>
      <c r="F82" s="5"/>
    </row>
    <row r="83" customFormat="false" ht="15" hidden="false" customHeight="false" outlineLevel="0" collapsed="false">
      <c r="A83" s="5" t="s">
        <v>173</v>
      </c>
      <c r="B83" s="5" t="s">
        <v>192</v>
      </c>
      <c r="C83" s="5" t="s">
        <v>105</v>
      </c>
      <c r="D83" s="5" t="s">
        <v>48</v>
      </c>
      <c r="E83" s="5" t="s">
        <v>55</v>
      </c>
      <c r="F83" s="5"/>
    </row>
    <row r="84" customFormat="false" ht="15" hidden="false" customHeight="false" outlineLevel="0" collapsed="false">
      <c r="A84" s="5" t="s">
        <v>173</v>
      </c>
      <c r="B84" s="5" t="s">
        <v>193</v>
      </c>
      <c r="C84" s="5" t="s">
        <v>105</v>
      </c>
      <c r="D84" s="5" t="s">
        <v>48</v>
      </c>
      <c r="E84" s="5" t="s">
        <v>92</v>
      </c>
      <c r="F84" s="5"/>
    </row>
    <row r="85" customFormat="false" ht="15" hidden="false" customHeight="false" outlineLevel="0" collapsed="false">
      <c r="A85" s="5" t="s">
        <v>170</v>
      </c>
      <c r="B85" s="5" t="s">
        <v>194</v>
      </c>
      <c r="C85" s="5" t="s">
        <v>77</v>
      </c>
      <c r="D85" s="5" t="s">
        <v>48</v>
      </c>
      <c r="E85" s="5" t="s">
        <v>74</v>
      </c>
      <c r="F85" s="5"/>
    </row>
    <row r="86" customFormat="false" ht="15" hidden="false" customHeight="false" outlineLevel="0" collapsed="false">
      <c r="A86" s="5" t="s">
        <v>173</v>
      </c>
      <c r="B86" s="5" t="s">
        <v>195</v>
      </c>
      <c r="C86" s="5" t="s">
        <v>54</v>
      </c>
      <c r="D86" s="5" t="s">
        <v>48</v>
      </c>
      <c r="E86" s="5" t="s">
        <v>196</v>
      </c>
      <c r="F86" s="5"/>
    </row>
    <row r="87" customFormat="false" ht="15" hidden="false" customHeight="false" outlineLevel="0" collapsed="false">
      <c r="A87" s="5" t="s">
        <v>173</v>
      </c>
      <c r="B87" s="5" t="s">
        <v>197</v>
      </c>
      <c r="C87" s="5" t="s">
        <v>54</v>
      </c>
      <c r="D87" s="5" t="s">
        <v>48</v>
      </c>
      <c r="E87" s="5" t="s">
        <v>198</v>
      </c>
      <c r="F87" s="5" t="s">
        <v>199</v>
      </c>
    </row>
    <row r="88" customFormat="false" ht="15" hidden="false" customHeight="false" outlineLevel="0" collapsed="false">
      <c r="A88" s="5" t="s">
        <v>173</v>
      </c>
      <c r="B88" s="5" t="s">
        <v>200</v>
      </c>
      <c r="C88" s="5" t="s">
        <v>201</v>
      </c>
      <c r="D88" s="5" t="s">
        <v>48</v>
      </c>
      <c r="E88" s="5" t="s">
        <v>202</v>
      </c>
      <c r="F88" s="5"/>
    </row>
    <row r="89" customFormat="false" ht="15" hidden="false" customHeight="false" outlineLevel="0" collapsed="false">
      <c r="A89" s="5" t="s">
        <v>173</v>
      </c>
      <c r="B89" s="5" t="s">
        <v>203</v>
      </c>
      <c r="C89" s="5" t="s">
        <v>77</v>
      </c>
      <c r="D89" s="5" t="s">
        <v>48</v>
      </c>
      <c r="E89" s="5" t="s">
        <v>204</v>
      </c>
      <c r="F89" s="5"/>
    </row>
    <row r="90" customFormat="false" ht="15" hidden="false" customHeight="false" outlineLevel="0" collapsed="false">
      <c r="A90" s="5" t="s">
        <v>173</v>
      </c>
      <c r="B90" s="5" t="s">
        <v>205</v>
      </c>
      <c r="C90" s="5" t="s">
        <v>206</v>
      </c>
      <c r="D90" s="5" t="s">
        <v>48</v>
      </c>
      <c r="E90" s="5" t="s">
        <v>92</v>
      </c>
      <c r="F90" s="5"/>
    </row>
    <row r="91" customFormat="false" ht="15" hidden="false" customHeight="false" outlineLevel="0" collapsed="false">
      <c r="A91" s="5" t="s">
        <v>173</v>
      </c>
      <c r="B91" s="5" t="s">
        <v>207</v>
      </c>
      <c r="C91" s="5" t="s">
        <v>208</v>
      </c>
      <c r="D91" s="5" t="s">
        <v>48</v>
      </c>
      <c r="E91" s="5" t="s">
        <v>92</v>
      </c>
      <c r="F91" s="5"/>
    </row>
    <row r="92" customFormat="false" ht="15" hidden="false" customHeight="false" outlineLevel="0" collapsed="false">
      <c r="A92" s="5" t="s">
        <v>173</v>
      </c>
      <c r="B92" s="5" t="s">
        <v>209</v>
      </c>
      <c r="C92" s="5" t="s">
        <v>54</v>
      </c>
      <c r="D92" s="5" t="s">
        <v>48</v>
      </c>
      <c r="E92" s="5" t="s">
        <v>92</v>
      </c>
      <c r="F92" s="5"/>
    </row>
    <row r="93" customFormat="false" ht="15" hidden="false" customHeight="false" outlineLevel="0" collapsed="false">
      <c r="A93" s="5" t="s">
        <v>210</v>
      </c>
      <c r="B93" s="5" t="s">
        <v>211</v>
      </c>
      <c r="C93" s="5" t="s">
        <v>103</v>
      </c>
      <c r="D93" s="5" t="s">
        <v>48</v>
      </c>
      <c r="E93" s="5" t="s">
        <v>55</v>
      </c>
      <c r="F93" s="5"/>
    </row>
    <row r="94" customFormat="false" ht="15" hidden="false" customHeight="false" outlineLevel="0" collapsed="false">
      <c r="A94" s="5" t="s">
        <v>210</v>
      </c>
      <c r="B94" s="5" t="s">
        <v>212</v>
      </c>
      <c r="C94" s="5" t="s">
        <v>105</v>
      </c>
      <c r="D94" s="5" t="s">
        <v>48</v>
      </c>
      <c r="E94" s="5" t="s">
        <v>55</v>
      </c>
      <c r="F94" s="5"/>
    </row>
    <row r="95" customFormat="false" ht="15" hidden="false" customHeight="false" outlineLevel="0" collapsed="false">
      <c r="A95" s="5" t="s">
        <v>213</v>
      </c>
      <c r="B95" s="5" t="s">
        <v>214</v>
      </c>
      <c r="C95" s="5" t="s">
        <v>54</v>
      </c>
      <c r="D95" s="5" t="s">
        <v>48</v>
      </c>
      <c r="E95" s="5" t="s">
        <v>55</v>
      </c>
      <c r="F95" s="5"/>
    </row>
    <row r="96" customFormat="false" ht="15" hidden="false" customHeight="false" outlineLevel="0" collapsed="false">
      <c r="A96" s="5" t="s">
        <v>215</v>
      </c>
      <c r="B96" s="5" t="s">
        <v>216</v>
      </c>
      <c r="C96" s="5" t="s">
        <v>217</v>
      </c>
      <c r="D96" s="5" t="s">
        <v>48</v>
      </c>
      <c r="E96" s="5" t="s">
        <v>74</v>
      </c>
      <c r="F96" s="5"/>
    </row>
    <row r="97" customFormat="false" ht="15" hidden="false" customHeight="false" outlineLevel="0" collapsed="false">
      <c r="A97" s="5" t="s">
        <v>173</v>
      </c>
      <c r="B97" s="5" t="s">
        <v>218</v>
      </c>
      <c r="C97" s="5" t="s">
        <v>105</v>
      </c>
      <c r="D97" s="5" t="s">
        <v>48</v>
      </c>
      <c r="E97" s="5" t="s">
        <v>55</v>
      </c>
      <c r="F97" s="5"/>
    </row>
    <row r="98" customFormat="false" ht="15" hidden="false" customHeight="false" outlineLevel="0" collapsed="false">
      <c r="A98" s="5" t="s">
        <v>215</v>
      </c>
      <c r="B98" s="5" t="s">
        <v>219</v>
      </c>
      <c r="C98" s="5" t="s">
        <v>118</v>
      </c>
      <c r="D98" s="5" t="s">
        <v>48</v>
      </c>
      <c r="E98" s="5" t="s">
        <v>92</v>
      </c>
      <c r="F98" s="5"/>
    </row>
    <row r="99" customFormat="false" ht="15" hidden="false" customHeight="false" outlineLevel="0" collapsed="false">
      <c r="A99" s="5" t="s">
        <v>75</v>
      </c>
      <c r="B99" s="5" t="s">
        <v>220</v>
      </c>
      <c r="C99" s="5" t="s">
        <v>221</v>
      </c>
      <c r="D99" s="5" t="s">
        <v>48</v>
      </c>
      <c r="E99" s="5" t="s">
        <v>55</v>
      </c>
      <c r="F99" s="5"/>
    </row>
    <row r="100" customFormat="false" ht="15" hidden="false" customHeight="false" outlineLevel="0" collapsed="false">
      <c r="A100" s="5" t="s">
        <v>222</v>
      </c>
      <c r="B100" s="5" t="s">
        <v>223</v>
      </c>
      <c r="C100" s="5" t="s">
        <v>98</v>
      </c>
      <c r="D100" s="5" t="s">
        <v>48</v>
      </c>
      <c r="E100" s="5" t="s">
        <v>55</v>
      </c>
      <c r="F100" s="5"/>
    </row>
    <row r="101" customFormat="false" ht="15" hidden="false" customHeight="false" outlineLevel="0" collapsed="false">
      <c r="A101" s="5" t="s">
        <v>75</v>
      </c>
      <c r="B101" s="5" t="s">
        <v>224</v>
      </c>
      <c r="C101" s="5" t="s">
        <v>98</v>
      </c>
      <c r="D101" s="5" t="s">
        <v>48</v>
      </c>
      <c r="E101" s="5" t="s">
        <v>55</v>
      </c>
      <c r="F101" s="5"/>
    </row>
    <row r="102" customFormat="false" ht="15" hidden="false" customHeight="false" outlineLevel="0" collapsed="false">
      <c r="A102" s="5" t="s">
        <v>75</v>
      </c>
      <c r="B102" s="5" t="s">
        <v>225</v>
      </c>
      <c r="C102" s="5" t="s">
        <v>98</v>
      </c>
      <c r="D102" s="5" t="s">
        <v>48</v>
      </c>
      <c r="E102" s="5" t="s">
        <v>55</v>
      </c>
      <c r="F102" s="5"/>
    </row>
    <row r="103" customFormat="false" ht="15" hidden="false" customHeight="false" outlineLevel="0" collapsed="false">
      <c r="A103" s="5" t="s">
        <v>75</v>
      </c>
      <c r="B103" s="5" t="s">
        <v>226</v>
      </c>
      <c r="C103" s="5" t="s">
        <v>98</v>
      </c>
      <c r="D103" s="5" t="s">
        <v>48</v>
      </c>
      <c r="E103" s="5" t="s">
        <v>55</v>
      </c>
      <c r="F103" s="5"/>
    </row>
    <row r="104" customFormat="false" ht="15" hidden="false" customHeight="false" outlineLevel="0" collapsed="false">
      <c r="A104" s="5" t="s">
        <v>222</v>
      </c>
      <c r="B104" s="5" t="s">
        <v>227</v>
      </c>
      <c r="C104" s="5" t="s">
        <v>98</v>
      </c>
      <c r="D104" s="5" t="s">
        <v>48</v>
      </c>
      <c r="E104" s="5" t="s">
        <v>55</v>
      </c>
      <c r="F104" s="5"/>
    </row>
    <row r="105" customFormat="false" ht="15" hidden="false" customHeight="false" outlineLevel="0" collapsed="false">
      <c r="A105" s="5" t="s">
        <v>222</v>
      </c>
      <c r="B105" s="5" t="s">
        <v>228</v>
      </c>
      <c r="C105" s="5" t="s">
        <v>98</v>
      </c>
      <c r="D105" s="5" t="s">
        <v>48</v>
      </c>
      <c r="E105" s="5" t="s">
        <v>55</v>
      </c>
      <c r="F105" s="5"/>
    </row>
    <row r="106" customFormat="false" ht="15" hidden="false" customHeight="false" outlineLevel="0" collapsed="false">
      <c r="A106" s="5" t="s">
        <v>222</v>
      </c>
      <c r="B106" s="5" t="s">
        <v>229</v>
      </c>
      <c r="C106" s="5" t="s">
        <v>54</v>
      </c>
      <c r="D106" s="5" t="s">
        <v>48</v>
      </c>
      <c r="E106" s="5" t="s">
        <v>55</v>
      </c>
      <c r="F106" s="5"/>
    </row>
    <row r="107" customFormat="false" ht="15" hidden="false" customHeight="false" outlineLevel="0" collapsed="false">
      <c r="A107" s="5" t="s">
        <v>222</v>
      </c>
      <c r="B107" s="5" t="s">
        <v>230</v>
      </c>
      <c r="C107" s="5" t="s">
        <v>54</v>
      </c>
      <c r="D107" s="5" t="s">
        <v>48</v>
      </c>
      <c r="E107" s="5" t="s">
        <v>55</v>
      </c>
      <c r="F107" s="5"/>
    </row>
    <row r="108" customFormat="false" ht="15" hidden="false" customHeight="false" outlineLevel="0" collapsed="false">
      <c r="A108" s="5" t="s">
        <v>231</v>
      </c>
      <c r="B108" s="5" t="s">
        <v>232</v>
      </c>
      <c r="C108" s="5" t="s">
        <v>233</v>
      </c>
      <c r="D108" s="5" t="s">
        <v>48</v>
      </c>
      <c r="E108" s="5" t="s">
        <v>55</v>
      </c>
      <c r="F108" s="5"/>
    </row>
    <row r="109" customFormat="false" ht="15" hidden="false" customHeight="false" outlineLevel="0" collapsed="false">
      <c r="A109" s="5" t="s">
        <v>170</v>
      </c>
      <c r="B109" s="5" t="s">
        <v>234</v>
      </c>
      <c r="C109" s="5" t="s">
        <v>105</v>
      </c>
      <c r="D109" s="5" t="s">
        <v>48</v>
      </c>
      <c r="E109" s="5" t="s">
        <v>55</v>
      </c>
      <c r="F109" s="5"/>
    </row>
    <row r="110" customFormat="false" ht="15" hidden="false" customHeight="false" outlineLevel="0" collapsed="false">
      <c r="A110" s="5" t="s">
        <v>170</v>
      </c>
      <c r="B110" s="5" t="s">
        <v>235</v>
      </c>
      <c r="C110" s="5" t="s">
        <v>54</v>
      </c>
      <c r="D110" s="5" t="s">
        <v>48</v>
      </c>
      <c r="E110" s="5" t="s">
        <v>55</v>
      </c>
      <c r="F110" s="5"/>
    </row>
    <row r="111" customFormat="false" ht="15" hidden="false" customHeight="false" outlineLevel="0" collapsed="false">
      <c r="A111" s="5" t="s">
        <v>170</v>
      </c>
      <c r="B111" s="5" t="s">
        <v>236</v>
      </c>
      <c r="C111" s="5" t="s">
        <v>54</v>
      </c>
      <c r="D111" s="5" t="s">
        <v>48</v>
      </c>
      <c r="E111" s="5" t="s">
        <v>55</v>
      </c>
      <c r="F111" s="5"/>
    </row>
    <row r="112" customFormat="false" ht="15" hidden="false" customHeight="false" outlineLevel="0" collapsed="false">
      <c r="A112" s="5" t="s">
        <v>188</v>
      </c>
      <c r="B112" s="5" t="s">
        <v>237</v>
      </c>
      <c r="C112" s="5" t="s">
        <v>238</v>
      </c>
      <c r="D112" s="5" t="s">
        <v>48</v>
      </c>
      <c r="E112" s="5" t="s">
        <v>239</v>
      </c>
      <c r="F112" s="5"/>
    </row>
    <row r="113" customFormat="false" ht="15" hidden="false" customHeight="false" outlineLevel="0" collapsed="false">
      <c r="A113" s="5" t="s">
        <v>188</v>
      </c>
      <c r="B113" s="5" t="s">
        <v>240</v>
      </c>
      <c r="C113" s="5" t="s">
        <v>238</v>
      </c>
      <c r="D113" s="5" t="s">
        <v>48</v>
      </c>
      <c r="E113" s="5" t="s">
        <v>239</v>
      </c>
      <c r="F113" s="5"/>
    </row>
    <row r="114" customFormat="false" ht="15" hidden="false" customHeight="false" outlineLevel="0" collapsed="false">
      <c r="A114" s="5" t="s">
        <v>188</v>
      </c>
      <c r="B114" s="5" t="s">
        <v>241</v>
      </c>
      <c r="C114" s="5" t="s">
        <v>238</v>
      </c>
      <c r="D114" s="5" t="s">
        <v>48</v>
      </c>
      <c r="E114" s="5" t="s">
        <v>239</v>
      </c>
      <c r="F114" s="5"/>
    </row>
    <row r="115" customFormat="false" ht="15" hidden="false" customHeight="false" outlineLevel="0" collapsed="false">
      <c r="A115" s="5" t="s">
        <v>188</v>
      </c>
      <c r="B115" s="5" t="s">
        <v>242</v>
      </c>
      <c r="C115" s="5" t="s">
        <v>238</v>
      </c>
      <c r="D115" s="5" t="s">
        <v>48</v>
      </c>
      <c r="E115" s="5" t="s">
        <v>239</v>
      </c>
      <c r="F115" s="5"/>
    </row>
    <row r="116" customFormat="false" ht="15" hidden="false" customHeight="false" outlineLevel="0" collapsed="false">
      <c r="A116" s="5" t="s">
        <v>188</v>
      </c>
      <c r="B116" s="5" t="s">
        <v>243</v>
      </c>
      <c r="C116" s="5" t="s">
        <v>54</v>
      </c>
      <c r="D116" s="5" t="s">
        <v>48</v>
      </c>
      <c r="E116" s="5" t="s">
        <v>239</v>
      </c>
      <c r="F116" s="5" t="s">
        <v>244</v>
      </c>
    </row>
    <row r="117" customFormat="false" ht="15" hidden="false" customHeight="false" outlineLevel="0" collapsed="false">
      <c r="A117" s="5" t="s">
        <v>188</v>
      </c>
      <c r="B117" s="5" t="s">
        <v>245</v>
      </c>
      <c r="C117" s="5" t="s">
        <v>54</v>
      </c>
      <c r="D117" s="5" t="s">
        <v>48</v>
      </c>
      <c r="E117" s="5" t="s">
        <v>239</v>
      </c>
      <c r="F117" s="5" t="s">
        <v>246</v>
      </c>
    </row>
    <row r="118" customFormat="false" ht="15" hidden="false" customHeight="false" outlineLevel="0" collapsed="false">
      <c r="A118" s="5" t="s">
        <v>188</v>
      </c>
      <c r="B118" s="5" t="s">
        <v>247</v>
      </c>
      <c r="C118" s="5" t="s">
        <v>54</v>
      </c>
      <c r="D118" s="5" t="s">
        <v>48</v>
      </c>
      <c r="E118" s="5" t="s">
        <v>239</v>
      </c>
      <c r="F118" s="5"/>
    </row>
    <row r="119" customFormat="false" ht="15" hidden="false" customHeight="false" outlineLevel="0" collapsed="false">
      <c r="A119" s="5" t="s">
        <v>188</v>
      </c>
      <c r="B119" s="5" t="s">
        <v>248</v>
      </c>
      <c r="C119" s="5" t="s">
        <v>54</v>
      </c>
      <c r="D119" s="5" t="s">
        <v>48</v>
      </c>
      <c r="E119" s="5" t="s">
        <v>239</v>
      </c>
      <c r="F119" s="5"/>
    </row>
    <row r="120" customFormat="false" ht="15" hidden="false" customHeight="false" outlineLevel="0" collapsed="false">
      <c r="A120" s="5" t="s">
        <v>188</v>
      </c>
      <c r="B120" s="5" t="s">
        <v>249</v>
      </c>
      <c r="C120" s="5" t="s">
        <v>250</v>
      </c>
      <c r="D120" s="5" t="s">
        <v>48</v>
      </c>
      <c r="E120" s="5" t="s">
        <v>239</v>
      </c>
      <c r="F120" s="5"/>
    </row>
    <row r="121" customFormat="false" ht="15" hidden="false" customHeight="false" outlineLevel="0" collapsed="false">
      <c r="A121" s="5" t="s">
        <v>188</v>
      </c>
      <c r="B121" s="5" t="s">
        <v>251</v>
      </c>
      <c r="C121" s="5" t="s">
        <v>77</v>
      </c>
      <c r="D121" s="5" t="s">
        <v>48</v>
      </c>
      <c r="E121" s="5" t="s">
        <v>239</v>
      </c>
      <c r="F121" s="5"/>
    </row>
    <row r="122" customFormat="false" ht="15" hidden="false" customHeight="false" outlineLevel="0" collapsed="false">
      <c r="A122" s="5" t="s">
        <v>188</v>
      </c>
      <c r="B122" s="5" t="s">
        <v>252</v>
      </c>
      <c r="C122" s="5" t="s">
        <v>105</v>
      </c>
      <c r="D122" s="5" t="s">
        <v>48</v>
      </c>
      <c r="E122" s="5" t="s">
        <v>239</v>
      </c>
      <c r="F122" s="5"/>
    </row>
    <row r="123" customFormat="false" ht="15" hidden="false" customHeight="false" outlineLevel="0" collapsed="false">
      <c r="A123" s="5" t="s">
        <v>215</v>
      </c>
      <c r="B123" s="5" t="s">
        <v>253</v>
      </c>
      <c r="C123" s="5" t="s">
        <v>254</v>
      </c>
      <c r="D123" s="5" t="s">
        <v>48</v>
      </c>
      <c r="E123" s="5" t="s">
        <v>255</v>
      </c>
      <c r="F123" s="5"/>
    </row>
    <row r="124" customFormat="false" ht="15" hidden="false" customHeight="false" outlineLevel="0" collapsed="false">
      <c r="A124" s="5" t="s">
        <v>188</v>
      </c>
      <c r="B124" s="5" t="s">
        <v>256</v>
      </c>
      <c r="C124" s="5" t="s">
        <v>257</v>
      </c>
      <c r="D124" s="5" t="s">
        <v>48</v>
      </c>
      <c r="E124" s="5" t="s">
        <v>258</v>
      </c>
      <c r="F124" s="5"/>
    </row>
    <row r="125" customFormat="false" ht="15" hidden="false" customHeight="false" outlineLevel="0" collapsed="false">
      <c r="A125" s="5" t="s">
        <v>259</v>
      </c>
      <c r="B125" s="5" t="s">
        <v>260</v>
      </c>
      <c r="C125" s="5" t="s">
        <v>261</v>
      </c>
      <c r="D125" s="5" t="s">
        <v>151</v>
      </c>
      <c r="E125" s="5" t="s">
        <v>55</v>
      </c>
      <c r="F125" s="5"/>
    </row>
    <row r="126" customFormat="false" ht="15" hidden="false" customHeight="false" outlineLevel="0" collapsed="false">
      <c r="A126" s="5" t="s">
        <v>259</v>
      </c>
      <c r="B126" s="5" t="s">
        <v>262</v>
      </c>
      <c r="C126" s="5" t="s">
        <v>261</v>
      </c>
      <c r="D126" s="5" t="s">
        <v>151</v>
      </c>
      <c r="E126" s="5" t="s">
        <v>55</v>
      </c>
      <c r="F126" s="5"/>
    </row>
    <row r="127" customFormat="false" ht="15" hidden="false" customHeight="false" outlineLevel="0" collapsed="false">
      <c r="A127" s="5" t="s">
        <v>45</v>
      </c>
      <c r="B127" s="5" t="s">
        <v>263</v>
      </c>
      <c r="C127" s="5" t="s">
        <v>264</v>
      </c>
      <c r="D127" s="5" t="s">
        <v>48</v>
      </c>
      <c r="E127" s="5" t="s">
        <v>92</v>
      </c>
      <c r="F127" s="5" t="s">
        <v>265</v>
      </c>
    </row>
    <row r="128" customFormat="false" ht="15" hidden="false" customHeight="false" outlineLevel="0" collapsed="false">
      <c r="A128" s="5" t="s">
        <v>45</v>
      </c>
      <c r="B128" s="5" t="s">
        <v>266</v>
      </c>
      <c r="C128" s="5" t="s">
        <v>267</v>
      </c>
      <c r="D128" s="5" t="s">
        <v>48</v>
      </c>
      <c r="E128" s="5" t="s">
        <v>92</v>
      </c>
      <c r="F128" s="5"/>
    </row>
    <row r="129" customFormat="false" ht="15" hidden="false" customHeight="false" outlineLevel="0" collapsed="false">
      <c r="A129" s="5" t="s">
        <v>45</v>
      </c>
      <c r="B129" s="5" t="s">
        <v>268</v>
      </c>
      <c r="C129" s="5" t="s">
        <v>269</v>
      </c>
      <c r="D129" s="5" t="s">
        <v>48</v>
      </c>
      <c r="E129" s="5" t="s">
        <v>92</v>
      </c>
      <c r="F129" s="5"/>
    </row>
    <row r="130" customFormat="false" ht="15" hidden="false" customHeight="false" outlineLevel="0" collapsed="false">
      <c r="A130" s="5" t="s">
        <v>45</v>
      </c>
      <c r="B130" s="5" t="s">
        <v>270</v>
      </c>
      <c r="C130" s="5" t="s">
        <v>271</v>
      </c>
      <c r="D130" s="5" t="s">
        <v>48</v>
      </c>
      <c r="E130" s="5" t="s">
        <v>272</v>
      </c>
      <c r="F130" s="5" t="s">
        <v>273</v>
      </c>
    </row>
    <row r="131" customFormat="false" ht="15" hidden="false" customHeight="false" outlineLevel="0" collapsed="false">
      <c r="A131" s="5" t="s">
        <v>45</v>
      </c>
      <c r="B131" s="5" t="s">
        <v>274</v>
      </c>
      <c r="C131" s="5" t="s">
        <v>275</v>
      </c>
      <c r="D131" s="5" t="s">
        <v>48</v>
      </c>
      <c r="E131" s="5" t="s">
        <v>92</v>
      </c>
      <c r="F131" s="5"/>
    </row>
    <row r="132" customFormat="false" ht="15" hidden="false" customHeight="false" outlineLevel="0" collapsed="false">
      <c r="A132" s="5" t="s">
        <v>45</v>
      </c>
      <c r="B132" s="5" t="s">
        <v>276</v>
      </c>
      <c r="C132" s="5" t="s">
        <v>277</v>
      </c>
      <c r="D132" s="5" t="s">
        <v>48</v>
      </c>
      <c r="E132" s="5" t="s">
        <v>92</v>
      </c>
      <c r="F132" s="5" t="s">
        <v>278</v>
      </c>
    </row>
    <row r="133" customFormat="false" ht="15" hidden="false" customHeight="false" outlineLevel="0" collapsed="false">
      <c r="A133" s="5" t="s">
        <v>45</v>
      </c>
      <c r="B133" s="5" t="s">
        <v>279</v>
      </c>
      <c r="C133" s="5" t="s">
        <v>280</v>
      </c>
      <c r="D133" s="5" t="s">
        <v>48</v>
      </c>
      <c r="E133" s="5" t="s">
        <v>92</v>
      </c>
      <c r="F133" s="5" t="s">
        <v>281</v>
      </c>
    </row>
    <row r="134" customFormat="false" ht="15" hidden="false" customHeight="false" outlineLevel="0" collapsed="false">
      <c r="A134" s="5" t="s">
        <v>45</v>
      </c>
      <c r="B134" s="5" t="s">
        <v>282</v>
      </c>
      <c r="C134" s="5" t="s">
        <v>283</v>
      </c>
      <c r="D134" s="5" t="s">
        <v>48</v>
      </c>
      <c r="E134" s="5" t="s">
        <v>92</v>
      </c>
      <c r="F134" s="5" t="s">
        <v>284</v>
      </c>
    </row>
  </sheetData>
  <dataValidations count="2">
    <dataValidation allowBlank="true" errorStyle="stop" operator="between" showDropDown="false" showErrorMessage="false" showInputMessage="false" sqref="A2:A155" type="list">
      <formula1>"BPN,SMD,MUARA LAWA,LOREH,LOAJANAN,LOA KULU,SANGA SANGA,TENGGARONG,TJ. REDEB,ADARO,TABANG,SANGATTA,SEPARI,JAKARTA,TARAKAN"</formula1>
      <formula2>0</formula2>
    </dataValidation>
    <dataValidation allowBlank="true" errorStyle="stop" operator="between" showDropDown="false" showErrorMessage="false" showInputMessage="false" sqref="D2:D155" type="list">
      <formula1>"pickup_suv,truk_ringan,bus"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4" min="4" style="0" width="22"/>
  </cols>
  <sheetData>
    <row r="1" customFormat="false" ht="31.5" hidden="false" customHeight="true" outlineLevel="0" collapsed="false">
      <c r="A1" s="4" t="s">
        <v>285</v>
      </c>
      <c r="B1" s="4" t="s">
        <v>286</v>
      </c>
      <c r="C1" s="4" t="s">
        <v>287</v>
      </c>
      <c r="D1" s="4" t="s">
        <v>288</v>
      </c>
    </row>
    <row r="2" customFormat="false" ht="15" hidden="false" customHeight="false" outlineLevel="0" collapsed="false">
      <c r="A2" s="6" t="str">
        <f aca="false">IF('DATA UNIT'!$B2="","",'DATA UNIT'!$B2)</f>
        <v>B 2444 UIL</v>
      </c>
      <c r="B2" s="6" t="str">
        <f aca="false">IF($A2="","",INDEX(PlanningItemsList,1))</f>
        <v>PM Check / Reguler Services</v>
      </c>
      <c r="C2" s="7"/>
      <c r="D2" s="7"/>
    </row>
    <row r="3" customFormat="false" ht="15" hidden="false" customHeight="false" outlineLevel="0" collapsed="false">
      <c r="A3" s="6" t="str">
        <f aca="false">IF('DATA UNIT'!$B2="","",'DATA UNIT'!$B2)</f>
        <v>B 2444 UIL</v>
      </c>
      <c r="B3" s="6" t="str">
        <f aca="false">IF($A3="","",INDEX(PlanningItemsList,2))</f>
        <v>Service A</v>
      </c>
      <c r="C3" s="7"/>
      <c r="D3" s="7"/>
    </row>
    <row r="4" customFormat="false" ht="15" hidden="false" customHeight="false" outlineLevel="0" collapsed="false">
      <c r="A4" s="6" t="str">
        <f aca="false">IF('DATA UNIT'!$B2="","",'DATA UNIT'!$B2)</f>
        <v>B 2444 UIL</v>
      </c>
      <c r="B4" s="6" t="str">
        <f aca="false">IF($A4="","",INDEX(PlanningItemsList,3))</f>
        <v>Service B</v>
      </c>
      <c r="C4" s="7"/>
      <c r="D4" s="7"/>
    </row>
    <row r="5" customFormat="false" ht="15" hidden="false" customHeight="false" outlineLevel="0" collapsed="false">
      <c r="A5" s="6" t="str">
        <f aca="false">IF('DATA UNIT'!$B2="","",'DATA UNIT'!$B2)</f>
        <v>B 2444 UIL</v>
      </c>
      <c r="B5" s="6" t="str">
        <f aca="false">IF($A5="","",INDEX(PlanningItemsList,4))</f>
        <v>Brake Pad</v>
      </c>
      <c r="C5" s="7"/>
      <c r="D5" s="7"/>
    </row>
    <row r="6" customFormat="false" ht="15" hidden="false" customHeight="false" outlineLevel="0" collapsed="false">
      <c r="A6" s="6" t="str">
        <f aca="false">IF('DATA UNIT'!$B2="","",'DATA UNIT'!$B2)</f>
        <v>B 2444 UIL</v>
      </c>
      <c r="B6" s="6" t="str">
        <f aca="false">IF($A6="","",INDEX(PlanningItemsList,5))</f>
        <v>Brake Shoe</v>
      </c>
      <c r="C6" s="7"/>
      <c r="D6" s="7"/>
    </row>
    <row r="7" customFormat="false" ht="15" hidden="false" customHeight="false" outlineLevel="0" collapsed="false">
      <c r="A7" s="6" t="str">
        <f aca="false">IF('DATA UNIT'!$B2="","",'DATA UNIT'!$B2)</f>
        <v>B 2444 UIL</v>
      </c>
      <c r="B7" s="6" t="str">
        <f aca="false">IF($A7="","",INDEX(PlanningItemsList,6))</f>
        <v>Accu</v>
      </c>
      <c r="C7" s="7"/>
      <c r="D7" s="7"/>
    </row>
    <row r="8" customFormat="false" ht="15" hidden="false" customHeight="false" outlineLevel="0" collapsed="false">
      <c r="A8" s="6" t="str">
        <f aca="false">IF('DATA UNIT'!$B2="","",'DATA UNIT'!$B2)</f>
        <v>B 2444 UIL</v>
      </c>
      <c r="B8" s="6" t="str">
        <f aca="false">IF($A8="","",INDEX(PlanningItemsList,7))</f>
        <v>Kampas Kopling Set</v>
      </c>
      <c r="C8" s="7"/>
      <c r="D8" s="7"/>
    </row>
    <row r="9" customFormat="false" ht="15" hidden="false" customHeight="false" outlineLevel="0" collapsed="false">
      <c r="A9" s="6" t="str">
        <f aca="false">IF('DATA UNIT'!$B2="","",'DATA UNIT'!$B2)</f>
        <v>B 2444 UIL</v>
      </c>
      <c r="B9" s="6" t="str">
        <f aca="false">IF($A9="","",INDEX(PlanningItemsList,8))</f>
        <v>Wiper Blade</v>
      </c>
      <c r="C9" s="7"/>
      <c r="D9" s="7"/>
    </row>
    <row r="10" customFormat="false" ht="15" hidden="false" customHeight="false" outlineLevel="0" collapsed="false">
      <c r="A10" s="6" t="str">
        <f aca="false">IF('DATA UNIT'!$B2="","",'DATA UNIT'!$B2)</f>
        <v>B 2444 UIL</v>
      </c>
      <c r="B10" s="6" t="str">
        <f aca="false">IF($A10="","",INDEX(PlanningItemsList,9))</f>
        <v>Ban Depan</v>
      </c>
      <c r="C10" s="7"/>
      <c r="D10" s="7"/>
    </row>
    <row r="11" customFormat="false" ht="15" hidden="false" customHeight="false" outlineLevel="0" collapsed="false">
      <c r="A11" s="6" t="str">
        <f aca="false">IF('DATA UNIT'!$B2="","",'DATA UNIT'!$B2)</f>
        <v>B 2444 UIL</v>
      </c>
      <c r="B11" s="6" t="str">
        <f aca="false">IF($A11="","",INDEX(PlanningItemsList,10))</f>
        <v>Ban Belakang</v>
      </c>
      <c r="C11" s="7"/>
      <c r="D11" s="7"/>
    </row>
    <row r="12" customFormat="false" ht="15" hidden="false" customHeight="false" outlineLevel="0" collapsed="false">
      <c r="A12" s="6" t="str">
        <f aca="false">IF('DATA UNIT'!$B2="","",'DATA UNIT'!$B2)</f>
        <v>B 2444 UIL</v>
      </c>
      <c r="B12" s="6" t="str">
        <f aca="false">IF($A12="","",INDEX(PlanningItemsList,11))</f>
        <v>Ban Serep</v>
      </c>
      <c r="C12" s="7"/>
      <c r="D12" s="7"/>
    </row>
    <row r="13" customFormat="false" ht="15" hidden="false" customHeight="false" outlineLevel="0" collapsed="false">
      <c r="A13" s="6" t="str">
        <f aca="false">IF('DATA UNIT'!$B2="","",'DATA UNIT'!$B2)</f>
        <v>B 2444 UIL</v>
      </c>
      <c r="B13" s="6" t="str">
        <f aca="false">IF($A13="","",INDEX(PlanningItemsList,12))</f>
        <v>Greasing</v>
      </c>
      <c r="C13" s="7"/>
      <c r="D13" s="7"/>
    </row>
    <row r="14" customFormat="false" ht="15" hidden="false" customHeight="false" outlineLevel="0" collapsed="false">
      <c r="A14" s="6" t="str">
        <f aca="false">IF('DATA UNIT'!$B2="","",'DATA UNIT'!$B2)</f>
        <v>B 2444 UIL</v>
      </c>
      <c r="B14" s="6" t="str">
        <f aca="false">IF($A14="","",INDEX(PlanningItemsList,13))</f>
        <v>V-Belt</v>
      </c>
      <c r="C14" s="7"/>
      <c r="D14" s="7"/>
    </row>
    <row r="15" customFormat="false" ht="15" hidden="false" customHeight="false" outlineLevel="0" collapsed="false">
      <c r="A15" s="6" t="str">
        <f aca="false">IF('DATA UNIT'!$B2="","",'DATA UNIT'!$B2)</f>
        <v>B 2444 UIL</v>
      </c>
      <c r="B15" s="6" t="str">
        <f aca="false">IF($A15="","",INDEX(PlanningItemsList,14))</f>
        <v>Sarung Jok</v>
      </c>
      <c r="C15" s="7"/>
      <c r="D15" s="7"/>
    </row>
    <row r="16" customFormat="false" ht="15" hidden="false" customHeight="false" outlineLevel="0" collapsed="false">
      <c r="A16" s="6" t="str">
        <f aca="false">IF('DATA UNIT'!$B2="","",'DATA UNIT'!$B2)</f>
        <v>B 2444 UIL</v>
      </c>
      <c r="B16" s="6" t="str">
        <f aca="false">IF($A16="","",INDEX(PlanningItemsList,15))</f>
        <v>Karpet Karet</v>
      </c>
      <c r="C16" s="7"/>
      <c r="D16" s="7"/>
    </row>
    <row r="17" customFormat="false" ht="15" hidden="false" customHeight="false" outlineLevel="0" collapsed="false">
      <c r="A17" s="6" t="str">
        <f aca="false">IF('DATA UNIT'!$B2="","",'DATA UNIT'!$B2)</f>
        <v>B 2444 UIL</v>
      </c>
      <c r="B17" s="6" t="str">
        <f aca="false">IF($A17="","",INDEX(PlanningItemsList,16))</f>
        <v>Karpet Dasar</v>
      </c>
      <c r="C17" s="7"/>
      <c r="D17" s="7"/>
    </row>
    <row r="18" customFormat="false" ht="15" hidden="false" customHeight="false" outlineLevel="0" collapsed="false">
      <c r="A18" s="6" t="str">
        <f aca="false">IF('DATA UNIT'!$B2="","",'DATA UNIT'!$B2)</f>
        <v>B 2444 UIL</v>
      </c>
      <c r="B18" s="6" t="str">
        <f aca="false">IF($A18="","",INDEX(PlanningItemsList,17))</f>
        <v>Flushing Radiator</v>
      </c>
      <c r="C18" s="7"/>
      <c r="D18" s="7"/>
    </row>
    <row r="19" customFormat="false" ht="15" hidden="false" customHeight="false" outlineLevel="0" collapsed="false">
      <c r="A19" s="6" t="str">
        <f aca="false">IF('DATA UNIT'!$B2="","",'DATA UNIT'!$B2)</f>
        <v>B 2444 UIL</v>
      </c>
      <c r="B19" s="6" t="str">
        <f aca="false">IF($A19="","",INDEX(PlanningItemsList,18))</f>
        <v>Flushing Steering</v>
      </c>
      <c r="C19" s="7"/>
      <c r="D19" s="7"/>
    </row>
    <row r="20" customFormat="false" ht="15" hidden="false" customHeight="false" outlineLevel="0" collapsed="false">
      <c r="A20" s="6" t="str">
        <f aca="false">IF('DATA UNIT'!$B2="","",'DATA UNIT'!$B2)</f>
        <v>B 2444 UIL</v>
      </c>
      <c r="B20" s="6" t="str">
        <f aca="false">IF($A20="","",INDEX(PlanningItemsList,19))</f>
        <v>Flushing Injector</v>
      </c>
      <c r="C20" s="7"/>
      <c r="D20" s="7"/>
    </row>
    <row r="21" customFormat="false" ht="15" hidden="false" customHeight="false" outlineLevel="0" collapsed="false">
      <c r="A21" s="6" t="str">
        <f aca="false">IF('DATA UNIT'!$B2="","",'DATA UNIT'!$B2)</f>
        <v>B 2444 UIL</v>
      </c>
      <c r="B21" s="6" t="str">
        <f aca="false">IF($A21="","",INDEX(PlanningItemsList,20))</f>
        <v>Flushing Rem</v>
      </c>
      <c r="C21" s="7"/>
      <c r="D21" s="7"/>
    </row>
    <row r="22" customFormat="false" ht="15" hidden="false" customHeight="false" outlineLevel="0" collapsed="false">
      <c r="A22" s="6" t="str">
        <f aca="false">IF('DATA UNIT'!$B3="","",'DATA UNIT'!$B3)</f>
        <v>B 2533 UIY</v>
      </c>
      <c r="B22" s="6" t="str">
        <f aca="false">IF($A22="","",INDEX(PlanningItemsList,1))</f>
        <v>PM Check / Reguler Services</v>
      </c>
      <c r="C22" s="7"/>
      <c r="D22" s="7"/>
    </row>
    <row r="23" customFormat="false" ht="15" hidden="false" customHeight="false" outlineLevel="0" collapsed="false">
      <c r="A23" s="6" t="str">
        <f aca="false">IF('DATA UNIT'!$B3="","",'DATA UNIT'!$B3)</f>
        <v>B 2533 UIY</v>
      </c>
      <c r="B23" s="6" t="str">
        <f aca="false">IF($A23="","",INDEX(PlanningItemsList,2))</f>
        <v>Service A</v>
      </c>
      <c r="C23" s="7"/>
      <c r="D23" s="7"/>
    </row>
    <row r="24" customFormat="false" ht="15" hidden="false" customHeight="false" outlineLevel="0" collapsed="false">
      <c r="A24" s="6" t="str">
        <f aca="false">IF('DATA UNIT'!$B3="","",'DATA UNIT'!$B3)</f>
        <v>B 2533 UIY</v>
      </c>
      <c r="B24" s="6" t="str">
        <f aca="false">IF($A24="","",INDEX(PlanningItemsList,3))</f>
        <v>Service B</v>
      </c>
      <c r="C24" s="7"/>
      <c r="D24" s="7"/>
    </row>
    <row r="25" customFormat="false" ht="15" hidden="false" customHeight="false" outlineLevel="0" collapsed="false">
      <c r="A25" s="6" t="str">
        <f aca="false">IF('DATA UNIT'!$B3="","",'DATA UNIT'!$B3)</f>
        <v>B 2533 UIY</v>
      </c>
      <c r="B25" s="6" t="str">
        <f aca="false">IF($A25="","",INDEX(PlanningItemsList,4))</f>
        <v>Brake Pad</v>
      </c>
      <c r="C25" s="7"/>
      <c r="D25" s="7"/>
    </row>
    <row r="26" customFormat="false" ht="15" hidden="false" customHeight="false" outlineLevel="0" collapsed="false">
      <c r="A26" s="6" t="str">
        <f aca="false">IF('DATA UNIT'!$B3="","",'DATA UNIT'!$B3)</f>
        <v>B 2533 UIY</v>
      </c>
      <c r="B26" s="6" t="str">
        <f aca="false">IF($A26="","",INDEX(PlanningItemsList,5))</f>
        <v>Brake Shoe</v>
      </c>
      <c r="C26" s="7"/>
      <c r="D26" s="7"/>
    </row>
    <row r="27" customFormat="false" ht="15" hidden="false" customHeight="false" outlineLevel="0" collapsed="false">
      <c r="A27" s="6" t="str">
        <f aca="false">IF('DATA UNIT'!$B3="","",'DATA UNIT'!$B3)</f>
        <v>B 2533 UIY</v>
      </c>
      <c r="B27" s="6" t="str">
        <f aca="false">IF($A27="","",INDEX(PlanningItemsList,6))</f>
        <v>Accu</v>
      </c>
      <c r="C27" s="7"/>
      <c r="D27" s="7"/>
    </row>
    <row r="28" customFormat="false" ht="15" hidden="false" customHeight="false" outlineLevel="0" collapsed="false">
      <c r="A28" s="6" t="str">
        <f aca="false">IF('DATA UNIT'!$B3="","",'DATA UNIT'!$B3)</f>
        <v>B 2533 UIY</v>
      </c>
      <c r="B28" s="6" t="str">
        <f aca="false">IF($A28="","",INDEX(PlanningItemsList,7))</f>
        <v>Kampas Kopling Set</v>
      </c>
      <c r="C28" s="7"/>
      <c r="D28" s="7"/>
    </row>
    <row r="29" customFormat="false" ht="15" hidden="false" customHeight="false" outlineLevel="0" collapsed="false">
      <c r="A29" s="6" t="str">
        <f aca="false">IF('DATA UNIT'!$B3="","",'DATA UNIT'!$B3)</f>
        <v>B 2533 UIY</v>
      </c>
      <c r="B29" s="6" t="str">
        <f aca="false">IF($A29="","",INDEX(PlanningItemsList,8))</f>
        <v>Wiper Blade</v>
      </c>
      <c r="C29" s="7"/>
      <c r="D29" s="7"/>
    </row>
    <row r="30" customFormat="false" ht="15" hidden="false" customHeight="false" outlineLevel="0" collapsed="false">
      <c r="A30" s="6" t="str">
        <f aca="false">IF('DATA UNIT'!$B3="","",'DATA UNIT'!$B3)</f>
        <v>B 2533 UIY</v>
      </c>
      <c r="B30" s="6" t="str">
        <f aca="false">IF($A30="","",INDEX(PlanningItemsList,9))</f>
        <v>Ban Depan</v>
      </c>
      <c r="C30" s="7"/>
      <c r="D30" s="7"/>
    </row>
    <row r="31" customFormat="false" ht="15" hidden="false" customHeight="false" outlineLevel="0" collapsed="false">
      <c r="A31" s="6" t="str">
        <f aca="false">IF('DATA UNIT'!$B3="","",'DATA UNIT'!$B3)</f>
        <v>B 2533 UIY</v>
      </c>
      <c r="B31" s="6" t="str">
        <f aca="false">IF($A31="","",INDEX(PlanningItemsList,10))</f>
        <v>Ban Belakang</v>
      </c>
      <c r="C31" s="7"/>
      <c r="D31" s="7"/>
    </row>
    <row r="32" customFormat="false" ht="15" hidden="false" customHeight="false" outlineLevel="0" collapsed="false">
      <c r="A32" s="6" t="str">
        <f aca="false">IF('DATA UNIT'!$B3="","",'DATA UNIT'!$B3)</f>
        <v>B 2533 UIY</v>
      </c>
      <c r="B32" s="6" t="str">
        <f aca="false">IF($A32="","",INDEX(PlanningItemsList,11))</f>
        <v>Ban Serep</v>
      </c>
      <c r="C32" s="7"/>
      <c r="D32" s="7"/>
    </row>
    <row r="33" customFormat="false" ht="15" hidden="false" customHeight="false" outlineLevel="0" collapsed="false">
      <c r="A33" s="6" t="str">
        <f aca="false">IF('DATA UNIT'!$B3="","",'DATA UNIT'!$B3)</f>
        <v>B 2533 UIY</v>
      </c>
      <c r="B33" s="6" t="str">
        <f aca="false">IF($A33="","",INDEX(PlanningItemsList,12))</f>
        <v>Greasing</v>
      </c>
      <c r="C33" s="7"/>
      <c r="D33" s="7"/>
    </row>
    <row r="34" customFormat="false" ht="15" hidden="false" customHeight="false" outlineLevel="0" collapsed="false">
      <c r="A34" s="6" t="str">
        <f aca="false">IF('DATA UNIT'!$B3="","",'DATA UNIT'!$B3)</f>
        <v>B 2533 UIY</v>
      </c>
      <c r="B34" s="6" t="str">
        <f aca="false">IF($A34="","",INDEX(PlanningItemsList,13))</f>
        <v>V-Belt</v>
      </c>
      <c r="C34" s="7"/>
      <c r="D34" s="7"/>
    </row>
    <row r="35" customFormat="false" ht="15" hidden="false" customHeight="false" outlineLevel="0" collapsed="false">
      <c r="A35" s="6" t="str">
        <f aca="false">IF('DATA UNIT'!$B3="","",'DATA UNIT'!$B3)</f>
        <v>B 2533 UIY</v>
      </c>
      <c r="B35" s="6" t="str">
        <f aca="false">IF($A35="","",INDEX(PlanningItemsList,14))</f>
        <v>Sarung Jok</v>
      </c>
      <c r="C35" s="7"/>
      <c r="D35" s="7"/>
    </row>
    <row r="36" customFormat="false" ht="15" hidden="false" customHeight="false" outlineLevel="0" collapsed="false">
      <c r="A36" s="6" t="str">
        <f aca="false">IF('DATA UNIT'!$B3="","",'DATA UNIT'!$B3)</f>
        <v>B 2533 UIY</v>
      </c>
      <c r="B36" s="6" t="str">
        <f aca="false">IF($A36="","",INDEX(PlanningItemsList,15))</f>
        <v>Karpet Karet</v>
      </c>
      <c r="C36" s="7"/>
      <c r="D36" s="7"/>
    </row>
    <row r="37" customFormat="false" ht="15" hidden="false" customHeight="false" outlineLevel="0" collapsed="false">
      <c r="A37" s="6" t="str">
        <f aca="false">IF('DATA UNIT'!$B3="","",'DATA UNIT'!$B3)</f>
        <v>B 2533 UIY</v>
      </c>
      <c r="B37" s="6" t="str">
        <f aca="false">IF($A37="","",INDEX(PlanningItemsList,16))</f>
        <v>Karpet Dasar</v>
      </c>
      <c r="C37" s="7"/>
      <c r="D37" s="7"/>
    </row>
    <row r="38" customFormat="false" ht="15" hidden="false" customHeight="false" outlineLevel="0" collapsed="false">
      <c r="A38" s="6" t="str">
        <f aca="false">IF('DATA UNIT'!$B3="","",'DATA UNIT'!$B3)</f>
        <v>B 2533 UIY</v>
      </c>
      <c r="B38" s="6" t="str">
        <f aca="false">IF($A38="","",INDEX(PlanningItemsList,17))</f>
        <v>Flushing Radiator</v>
      </c>
      <c r="C38" s="7"/>
      <c r="D38" s="7"/>
    </row>
    <row r="39" customFormat="false" ht="15" hidden="false" customHeight="false" outlineLevel="0" collapsed="false">
      <c r="A39" s="6" t="str">
        <f aca="false">IF('DATA UNIT'!$B3="","",'DATA UNIT'!$B3)</f>
        <v>B 2533 UIY</v>
      </c>
      <c r="B39" s="6" t="str">
        <f aca="false">IF($A39="","",INDEX(PlanningItemsList,18))</f>
        <v>Flushing Steering</v>
      </c>
      <c r="C39" s="7"/>
      <c r="D39" s="7"/>
    </row>
    <row r="40" customFormat="false" ht="15" hidden="false" customHeight="false" outlineLevel="0" collapsed="false">
      <c r="A40" s="6" t="str">
        <f aca="false">IF('DATA UNIT'!$B3="","",'DATA UNIT'!$B3)</f>
        <v>B 2533 UIY</v>
      </c>
      <c r="B40" s="6" t="str">
        <f aca="false">IF($A40="","",INDEX(PlanningItemsList,19))</f>
        <v>Flushing Injector</v>
      </c>
      <c r="C40" s="7"/>
      <c r="D40" s="7"/>
    </row>
    <row r="41" customFormat="false" ht="15" hidden="false" customHeight="false" outlineLevel="0" collapsed="false">
      <c r="A41" s="6" t="str">
        <f aca="false">IF('DATA UNIT'!$B3="","",'DATA UNIT'!$B3)</f>
        <v>B 2533 UIY</v>
      </c>
      <c r="B41" s="6" t="str">
        <f aca="false">IF($A41="","",INDEX(PlanningItemsList,20))</f>
        <v>Flushing Rem</v>
      </c>
      <c r="C41" s="7"/>
      <c r="D41" s="7"/>
    </row>
    <row r="42" customFormat="false" ht="15" hidden="false" customHeight="false" outlineLevel="0" collapsed="false">
      <c r="A42" s="6" t="str">
        <f aca="false">IF('DATA UNIT'!$B4="","",'DATA UNIT'!$B4)</f>
        <v>KT 8404 YR</v>
      </c>
      <c r="B42" s="6" t="str">
        <f aca="false">IF($A42="","",INDEX(PlanningItemsList,1))</f>
        <v>PM Check / Reguler Services</v>
      </c>
      <c r="C42" s="7"/>
      <c r="D42" s="7"/>
    </row>
    <row r="43" customFormat="false" ht="15" hidden="false" customHeight="false" outlineLevel="0" collapsed="false">
      <c r="A43" s="6" t="str">
        <f aca="false">IF('DATA UNIT'!$B4="","",'DATA UNIT'!$B4)</f>
        <v>KT 8404 YR</v>
      </c>
      <c r="B43" s="6" t="str">
        <f aca="false">IF($A43="","",INDEX(PlanningItemsList,2))</f>
        <v>Service A</v>
      </c>
      <c r="C43" s="7"/>
      <c r="D43" s="7"/>
    </row>
    <row r="44" customFormat="false" ht="15" hidden="false" customHeight="false" outlineLevel="0" collapsed="false">
      <c r="A44" s="6" t="str">
        <f aca="false">IF('DATA UNIT'!$B4="","",'DATA UNIT'!$B4)</f>
        <v>KT 8404 YR</v>
      </c>
      <c r="B44" s="6" t="str">
        <f aca="false">IF($A44="","",INDEX(PlanningItemsList,3))</f>
        <v>Service B</v>
      </c>
      <c r="C44" s="7"/>
      <c r="D44" s="7"/>
    </row>
    <row r="45" customFormat="false" ht="15" hidden="false" customHeight="false" outlineLevel="0" collapsed="false">
      <c r="A45" s="6" t="str">
        <f aca="false">IF('DATA UNIT'!$B4="","",'DATA UNIT'!$B4)</f>
        <v>KT 8404 YR</v>
      </c>
      <c r="B45" s="6" t="str">
        <f aca="false">IF($A45="","",INDEX(PlanningItemsList,4))</f>
        <v>Brake Pad</v>
      </c>
      <c r="C45" s="7"/>
      <c r="D45" s="7"/>
    </row>
    <row r="46" customFormat="false" ht="15" hidden="false" customHeight="false" outlineLevel="0" collapsed="false">
      <c r="A46" s="6" t="str">
        <f aca="false">IF('DATA UNIT'!$B4="","",'DATA UNIT'!$B4)</f>
        <v>KT 8404 YR</v>
      </c>
      <c r="B46" s="6" t="str">
        <f aca="false">IF($A46="","",INDEX(PlanningItemsList,5))</f>
        <v>Brake Shoe</v>
      </c>
      <c r="C46" s="7"/>
      <c r="D46" s="7"/>
    </row>
    <row r="47" customFormat="false" ht="15" hidden="false" customHeight="false" outlineLevel="0" collapsed="false">
      <c r="A47" s="6" t="str">
        <f aca="false">IF('DATA UNIT'!$B4="","",'DATA UNIT'!$B4)</f>
        <v>KT 8404 YR</v>
      </c>
      <c r="B47" s="6" t="str">
        <f aca="false">IF($A47="","",INDEX(PlanningItemsList,6))</f>
        <v>Accu</v>
      </c>
      <c r="C47" s="7"/>
      <c r="D47" s="7"/>
    </row>
    <row r="48" customFormat="false" ht="15" hidden="false" customHeight="false" outlineLevel="0" collapsed="false">
      <c r="A48" s="6" t="str">
        <f aca="false">IF('DATA UNIT'!$B4="","",'DATA UNIT'!$B4)</f>
        <v>KT 8404 YR</v>
      </c>
      <c r="B48" s="6" t="str">
        <f aca="false">IF($A48="","",INDEX(PlanningItemsList,7))</f>
        <v>Kampas Kopling Set</v>
      </c>
      <c r="C48" s="7"/>
      <c r="D48" s="7"/>
    </row>
    <row r="49" customFormat="false" ht="15" hidden="false" customHeight="false" outlineLevel="0" collapsed="false">
      <c r="A49" s="6" t="str">
        <f aca="false">IF('DATA UNIT'!$B4="","",'DATA UNIT'!$B4)</f>
        <v>KT 8404 YR</v>
      </c>
      <c r="B49" s="6" t="str">
        <f aca="false">IF($A49="","",INDEX(PlanningItemsList,8))</f>
        <v>Wiper Blade</v>
      </c>
      <c r="C49" s="7"/>
      <c r="D49" s="7"/>
    </row>
    <row r="50" customFormat="false" ht="15" hidden="false" customHeight="false" outlineLevel="0" collapsed="false">
      <c r="A50" s="6" t="str">
        <f aca="false">IF('DATA UNIT'!$B4="","",'DATA UNIT'!$B4)</f>
        <v>KT 8404 YR</v>
      </c>
      <c r="B50" s="6" t="str">
        <f aca="false">IF($A50="","",INDEX(PlanningItemsList,9))</f>
        <v>Ban Depan</v>
      </c>
      <c r="C50" s="7"/>
      <c r="D50" s="7"/>
    </row>
    <row r="51" customFormat="false" ht="15" hidden="false" customHeight="false" outlineLevel="0" collapsed="false">
      <c r="A51" s="6" t="str">
        <f aca="false">IF('DATA UNIT'!$B4="","",'DATA UNIT'!$B4)</f>
        <v>KT 8404 YR</v>
      </c>
      <c r="B51" s="6" t="str">
        <f aca="false">IF($A51="","",INDEX(PlanningItemsList,10))</f>
        <v>Ban Belakang</v>
      </c>
      <c r="C51" s="7"/>
      <c r="D51" s="7"/>
    </row>
    <row r="52" customFormat="false" ht="15" hidden="false" customHeight="false" outlineLevel="0" collapsed="false">
      <c r="A52" s="6" t="str">
        <f aca="false">IF('DATA UNIT'!$B4="","",'DATA UNIT'!$B4)</f>
        <v>KT 8404 YR</v>
      </c>
      <c r="B52" s="6" t="str">
        <f aca="false">IF($A52="","",INDEX(PlanningItemsList,11))</f>
        <v>Ban Serep</v>
      </c>
      <c r="C52" s="7"/>
      <c r="D52" s="7"/>
    </row>
    <row r="53" customFormat="false" ht="15" hidden="false" customHeight="false" outlineLevel="0" collapsed="false">
      <c r="A53" s="6" t="str">
        <f aca="false">IF('DATA UNIT'!$B4="","",'DATA UNIT'!$B4)</f>
        <v>KT 8404 YR</v>
      </c>
      <c r="B53" s="6" t="str">
        <f aca="false">IF($A53="","",INDEX(PlanningItemsList,12))</f>
        <v>Greasing</v>
      </c>
      <c r="C53" s="7"/>
      <c r="D53" s="7"/>
    </row>
    <row r="54" customFormat="false" ht="15" hidden="false" customHeight="false" outlineLevel="0" collapsed="false">
      <c r="A54" s="6" t="str">
        <f aca="false">IF('DATA UNIT'!$B4="","",'DATA UNIT'!$B4)</f>
        <v>KT 8404 YR</v>
      </c>
      <c r="B54" s="6" t="str">
        <f aca="false">IF($A54="","",INDEX(PlanningItemsList,13))</f>
        <v>V-Belt</v>
      </c>
      <c r="C54" s="7"/>
      <c r="D54" s="7"/>
    </row>
    <row r="55" customFormat="false" ht="15" hidden="false" customHeight="false" outlineLevel="0" collapsed="false">
      <c r="A55" s="6" t="str">
        <f aca="false">IF('DATA UNIT'!$B4="","",'DATA UNIT'!$B4)</f>
        <v>KT 8404 YR</v>
      </c>
      <c r="B55" s="6" t="str">
        <f aca="false">IF($A55="","",INDEX(PlanningItemsList,14))</f>
        <v>Sarung Jok</v>
      </c>
      <c r="C55" s="7"/>
      <c r="D55" s="7"/>
    </row>
    <row r="56" customFormat="false" ht="15" hidden="false" customHeight="false" outlineLevel="0" collapsed="false">
      <c r="A56" s="6" t="str">
        <f aca="false">IF('DATA UNIT'!$B4="","",'DATA UNIT'!$B4)</f>
        <v>KT 8404 YR</v>
      </c>
      <c r="B56" s="6" t="str">
        <f aca="false">IF($A56="","",INDEX(PlanningItemsList,15))</f>
        <v>Karpet Karet</v>
      </c>
      <c r="C56" s="7"/>
      <c r="D56" s="7"/>
    </row>
    <row r="57" customFormat="false" ht="15" hidden="false" customHeight="false" outlineLevel="0" collapsed="false">
      <c r="A57" s="6" t="str">
        <f aca="false">IF('DATA UNIT'!$B4="","",'DATA UNIT'!$B4)</f>
        <v>KT 8404 YR</v>
      </c>
      <c r="B57" s="6" t="str">
        <f aca="false">IF($A57="","",INDEX(PlanningItemsList,16))</f>
        <v>Karpet Dasar</v>
      </c>
      <c r="C57" s="7"/>
      <c r="D57" s="7"/>
    </row>
    <row r="58" customFormat="false" ht="15" hidden="false" customHeight="false" outlineLevel="0" collapsed="false">
      <c r="A58" s="6" t="str">
        <f aca="false">IF('DATA UNIT'!$B4="","",'DATA UNIT'!$B4)</f>
        <v>KT 8404 YR</v>
      </c>
      <c r="B58" s="6" t="str">
        <f aca="false">IF($A58="","",INDEX(PlanningItemsList,17))</f>
        <v>Flushing Radiator</v>
      </c>
      <c r="C58" s="7"/>
      <c r="D58" s="7"/>
    </row>
    <row r="59" customFormat="false" ht="15" hidden="false" customHeight="false" outlineLevel="0" collapsed="false">
      <c r="A59" s="6" t="str">
        <f aca="false">IF('DATA UNIT'!$B4="","",'DATA UNIT'!$B4)</f>
        <v>KT 8404 YR</v>
      </c>
      <c r="B59" s="6" t="str">
        <f aca="false">IF($A59="","",INDEX(PlanningItemsList,18))</f>
        <v>Flushing Steering</v>
      </c>
      <c r="C59" s="7"/>
      <c r="D59" s="7"/>
    </row>
    <row r="60" customFormat="false" ht="15" hidden="false" customHeight="false" outlineLevel="0" collapsed="false">
      <c r="A60" s="6" t="str">
        <f aca="false">IF('DATA UNIT'!$B4="","",'DATA UNIT'!$B4)</f>
        <v>KT 8404 YR</v>
      </c>
      <c r="B60" s="6" t="str">
        <f aca="false">IF($A60="","",INDEX(PlanningItemsList,19))</f>
        <v>Flushing Injector</v>
      </c>
      <c r="C60" s="7"/>
      <c r="D60" s="7"/>
    </row>
    <row r="61" customFormat="false" ht="15" hidden="false" customHeight="false" outlineLevel="0" collapsed="false">
      <c r="A61" s="6" t="str">
        <f aca="false">IF('DATA UNIT'!$B4="","",'DATA UNIT'!$B4)</f>
        <v>KT 8404 YR</v>
      </c>
      <c r="B61" s="6" t="str">
        <f aca="false">IF($A61="","",INDEX(PlanningItemsList,20))</f>
        <v>Flushing Rem</v>
      </c>
      <c r="C61" s="7"/>
      <c r="D61" s="7"/>
    </row>
    <row r="62" customFormat="false" ht="15" hidden="false" customHeight="false" outlineLevel="0" collapsed="false">
      <c r="A62" s="6" t="str">
        <f aca="false">IF('DATA UNIT'!$B5="","",'DATA UNIT'!$B5)</f>
        <v>KT 8620 YR</v>
      </c>
      <c r="B62" s="6" t="str">
        <f aca="false">IF($A62="","",INDEX(PlanningItemsList,1))</f>
        <v>PM Check / Reguler Services</v>
      </c>
      <c r="C62" s="7"/>
      <c r="D62" s="7"/>
    </row>
    <row r="63" customFormat="false" ht="15" hidden="false" customHeight="false" outlineLevel="0" collapsed="false">
      <c r="A63" s="6" t="str">
        <f aca="false">IF('DATA UNIT'!$B5="","",'DATA UNIT'!$B5)</f>
        <v>KT 8620 YR</v>
      </c>
      <c r="B63" s="6" t="str">
        <f aca="false">IF($A63="","",INDEX(PlanningItemsList,2))</f>
        <v>Service A</v>
      </c>
      <c r="C63" s="7"/>
      <c r="D63" s="7"/>
    </row>
    <row r="64" customFormat="false" ht="15" hidden="false" customHeight="false" outlineLevel="0" collapsed="false">
      <c r="A64" s="6" t="str">
        <f aca="false">IF('DATA UNIT'!$B5="","",'DATA UNIT'!$B5)</f>
        <v>KT 8620 YR</v>
      </c>
      <c r="B64" s="6" t="str">
        <f aca="false">IF($A64="","",INDEX(PlanningItemsList,3))</f>
        <v>Service B</v>
      </c>
      <c r="C64" s="7"/>
      <c r="D64" s="7"/>
    </row>
    <row r="65" customFormat="false" ht="15" hidden="false" customHeight="false" outlineLevel="0" collapsed="false">
      <c r="A65" s="6" t="str">
        <f aca="false">IF('DATA UNIT'!$B5="","",'DATA UNIT'!$B5)</f>
        <v>KT 8620 YR</v>
      </c>
      <c r="B65" s="6" t="str">
        <f aca="false">IF($A65="","",INDEX(PlanningItemsList,4))</f>
        <v>Brake Pad</v>
      </c>
      <c r="C65" s="7"/>
      <c r="D65" s="7"/>
    </row>
    <row r="66" customFormat="false" ht="15" hidden="false" customHeight="false" outlineLevel="0" collapsed="false">
      <c r="A66" s="6" t="str">
        <f aca="false">IF('DATA UNIT'!$B5="","",'DATA UNIT'!$B5)</f>
        <v>KT 8620 YR</v>
      </c>
      <c r="B66" s="6" t="str">
        <f aca="false">IF($A66="","",INDEX(PlanningItemsList,5))</f>
        <v>Brake Shoe</v>
      </c>
      <c r="C66" s="7"/>
      <c r="D66" s="7"/>
    </row>
    <row r="67" customFormat="false" ht="15" hidden="false" customHeight="false" outlineLevel="0" collapsed="false">
      <c r="A67" s="6" t="str">
        <f aca="false">IF('DATA UNIT'!$B5="","",'DATA UNIT'!$B5)</f>
        <v>KT 8620 YR</v>
      </c>
      <c r="B67" s="6" t="str">
        <f aca="false">IF($A67="","",INDEX(PlanningItemsList,6))</f>
        <v>Accu</v>
      </c>
      <c r="C67" s="7"/>
      <c r="D67" s="7"/>
    </row>
    <row r="68" customFormat="false" ht="15" hidden="false" customHeight="false" outlineLevel="0" collapsed="false">
      <c r="A68" s="6" t="str">
        <f aca="false">IF('DATA UNIT'!$B5="","",'DATA UNIT'!$B5)</f>
        <v>KT 8620 YR</v>
      </c>
      <c r="B68" s="6" t="str">
        <f aca="false">IF($A68="","",INDEX(PlanningItemsList,7))</f>
        <v>Kampas Kopling Set</v>
      </c>
      <c r="C68" s="7"/>
      <c r="D68" s="7"/>
    </row>
    <row r="69" customFormat="false" ht="15" hidden="false" customHeight="false" outlineLevel="0" collapsed="false">
      <c r="A69" s="6" t="str">
        <f aca="false">IF('DATA UNIT'!$B5="","",'DATA UNIT'!$B5)</f>
        <v>KT 8620 YR</v>
      </c>
      <c r="B69" s="6" t="str">
        <f aca="false">IF($A69="","",INDEX(PlanningItemsList,8))</f>
        <v>Wiper Blade</v>
      </c>
      <c r="C69" s="7"/>
      <c r="D69" s="7"/>
    </row>
    <row r="70" customFormat="false" ht="15" hidden="false" customHeight="false" outlineLevel="0" collapsed="false">
      <c r="A70" s="6" t="str">
        <f aca="false">IF('DATA UNIT'!$B5="","",'DATA UNIT'!$B5)</f>
        <v>KT 8620 YR</v>
      </c>
      <c r="B70" s="6" t="str">
        <f aca="false">IF($A70="","",INDEX(PlanningItemsList,9))</f>
        <v>Ban Depan</v>
      </c>
      <c r="C70" s="7"/>
      <c r="D70" s="7"/>
    </row>
    <row r="71" customFormat="false" ht="15" hidden="false" customHeight="false" outlineLevel="0" collapsed="false">
      <c r="A71" s="6" t="str">
        <f aca="false">IF('DATA UNIT'!$B5="","",'DATA UNIT'!$B5)</f>
        <v>KT 8620 YR</v>
      </c>
      <c r="B71" s="6" t="str">
        <f aca="false">IF($A71="","",INDEX(PlanningItemsList,10))</f>
        <v>Ban Belakang</v>
      </c>
      <c r="C71" s="7"/>
      <c r="D71" s="7"/>
    </row>
    <row r="72" customFormat="false" ht="15" hidden="false" customHeight="false" outlineLevel="0" collapsed="false">
      <c r="A72" s="6" t="str">
        <f aca="false">IF('DATA UNIT'!$B5="","",'DATA UNIT'!$B5)</f>
        <v>KT 8620 YR</v>
      </c>
      <c r="B72" s="6" t="str">
        <f aca="false">IF($A72="","",INDEX(PlanningItemsList,11))</f>
        <v>Ban Serep</v>
      </c>
      <c r="C72" s="7"/>
      <c r="D72" s="7"/>
    </row>
    <row r="73" customFormat="false" ht="15" hidden="false" customHeight="false" outlineLevel="0" collapsed="false">
      <c r="A73" s="6" t="str">
        <f aca="false">IF('DATA UNIT'!$B5="","",'DATA UNIT'!$B5)</f>
        <v>KT 8620 YR</v>
      </c>
      <c r="B73" s="6" t="str">
        <f aca="false">IF($A73="","",INDEX(PlanningItemsList,12))</f>
        <v>Greasing</v>
      </c>
      <c r="C73" s="7"/>
      <c r="D73" s="7"/>
    </row>
    <row r="74" customFormat="false" ht="15" hidden="false" customHeight="false" outlineLevel="0" collapsed="false">
      <c r="A74" s="6" t="str">
        <f aca="false">IF('DATA UNIT'!$B5="","",'DATA UNIT'!$B5)</f>
        <v>KT 8620 YR</v>
      </c>
      <c r="B74" s="6" t="str">
        <f aca="false">IF($A74="","",INDEX(PlanningItemsList,13))</f>
        <v>V-Belt</v>
      </c>
      <c r="C74" s="7"/>
      <c r="D74" s="7"/>
    </row>
    <row r="75" customFormat="false" ht="15" hidden="false" customHeight="false" outlineLevel="0" collapsed="false">
      <c r="A75" s="6" t="str">
        <f aca="false">IF('DATA UNIT'!$B5="","",'DATA UNIT'!$B5)</f>
        <v>KT 8620 YR</v>
      </c>
      <c r="B75" s="6" t="str">
        <f aca="false">IF($A75="","",INDEX(PlanningItemsList,14))</f>
        <v>Sarung Jok</v>
      </c>
      <c r="C75" s="7"/>
      <c r="D75" s="7"/>
    </row>
    <row r="76" customFormat="false" ht="15" hidden="false" customHeight="false" outlineLevel="0" collapsed="false">
      <c r="A76" s="6" t="str">
        <f aca="false">IF('DATA UNIT'!$B5="","",'DATA UNIT'!$B5)</f>
        <v>KT 8620 YR</v>
      </c>
      <c r="B76" s="6" t="str">
        <f aca="false">IF($A76="","",INDEX(PlanningItemsList,15))</f>
        <v>Karpet Karet</v>
      </c>
      <c r="C76" s="7"/>
      <c r="D76" s="7"/>
    </row>
    <row r="77" customFormat="false" ht="15" hidden="false" customHeight="false" outlineLevel="0" collapsed="false">
      <c r="A77" s="6" t="str">
        <f aca="false">IF('DATA UNIT'!$B5="","",'DATA UNIT'!$B5)</f>
        <v>KT 8620 YR</v>
      </c>
      <c r="B77" s="6" t="str">
        <f aca="false">IF($A77="","",INDEX(PlanningItemsList,16))</f>
        <v>Karpet Dasar</v>
      </c>
      <c r="C77" s="7"/>
      <c r="D77" s="7"/>
    </row>
    <row r="78" customFormat="false" ht="15" hidden="false" customHeight="false" outlineLevel="0" collapsed="false">
      <c r="A78" s="6" t="str">
        <f aca="false">IF('DATA UNIT'!$B5="","",'DATA UNIT'!$B5)</f>
        <v>KT 8620 YR</v>
      </c>
      <c r="B78" s="6" t="str">
        <f aca="false">IF($A78="","",INDEX(PlanningItemsList,17))</f>
        <v>Flushing Radiator</v>
      </c>
      <c r="C78" s="7"/>
      <c r="D78" s="7"/>
    </row>
    <row r="79" customFormat="false" ht="15" hidden="false" customHeight="false" outlineLevel="0" collapsed="false">
      <c r="A79" s="6" t="str">
        <f aca="false">IF('DATA UNIT'!$B5="","",'DATA UNIT'!$B5)</f>
        <v>KT 8620 YR</v>
      </c>
      <c r="B79" s="6" t="str">
        <f aca="false">IF($A79="","",INDEX(PlanningItemsList,18))</f>
        <v>Flushing Steering</v>
      </c>
      <c r="C79" s="7"/>
      <c r="D79" s="7"/>
    </row>
    <row r="80" customFormat="false" ht="15" hidden="false" customHeight="false" outlineLevel="0" collapsed="false">
      <c r="A80" s="6" t="str">
        <f aca="false">IF('DATA UNIT'!$B5="","",'DATA UNIT'!$B5)</f>
        <v>KT 8620 YR</v>
      </c>
      <c r="B80" s="6" t="str">
        <f aca="false">IF($A80="","",INDEX(PlanningItemsList,19))</f>
        <v>Flushing Injector</v>
      </c>
      <c r="C80" s="7"/>
      <c r="D80" s="7"/>
    </row>
    <row r="81" customFormat="false" ht="15" hidden="false" customHeight="false" outlineLevel="0" collapsed="false">
      <c r="A81" s="6" t="str">
        <f aca="false">IF('DATA UNIT'!$B5="","",'DATA UNIT'!$B5)</f>
        <v>KT 8620 YR</v>
      </c>
      <c r="B81" s="6" t="str">
        <f aca="false">IF($A81="","",INDEX(PlanningItemsList,20))</f>
        <v>Flushing Rem</v>
      </c>
      <c r="C81" s="7"/>
      <c r="D81" s="7"/>
    </row>
    <row r="82" customFormat="false" ht="15" hidden="false" customHeight="false" outlineLevel="0" collapsed="false">
      <c r="A82" s="6" t="str">
        <f aca="false">IF('DATA UNIT'!$B6="","",'DATA UNIT'!$B6)</f>
        <v>KT 8619 YR</v>
      </c>
      <c r="B82" s="6" t="str">
        <f aca="false">IF($A82="","",INDEX(PlanningItemsList,1))</f>
        <v>PM Check / Reguler Services</v>
      </c>
      <c r="C82" s="7"/>
      <c r="D82" s="7"/>
    </row>
    <row r="83" customFormat="false" ht="15" hidden="false" customHeight="false" outlineLevel="0" collapsed="false">
      <c r="A83" s="6" t="str">
        <f aca="false">IF('DATA UNIT'!$B6="","",'DATA UNIT'!$B6)</f>
        <v>KT 8619 YR</v>
      </c>
      <c r="B83" s="6" t="str">
        <f aca="false">IF($A83="","",INDEX(PlanningItemsList,2))</f>
        <v>Service A</v>
      </c>
      <c r="C83" s="7"/>
      <c r="D83" s="7"/>
    </row>
    <row r="84" customFormat="false" ht="15" hidden="false" customHeight="false" outlineLevel="0" collapsed="false">
      <c r="A84" s="6" t="str">
        <f aca="false">IF('DATA UNIT'!$B6="","",'DATA UNIT'!$B6)</f>
        <v>KT 8619 YR</v>
      </c>
      <c r="B84" s="6" t="str">
        <f aca="false">IF($A84="","",INDEX(PlanningItemsList,3))</f>
        <v>Service B</v>
      </c>
      <c r="C84" s="7"/>
      <c r="D84" s="7"/>
    </row>
    <row r="85" customFormat="false" ht="15" hidden="false" customHeight="false" outlineLevel="0" collapsed="false">
      <c r="A85" s="6" t="str">
        <f aca="false">IF('DATA UNIT'!$B6="","",'DATA UNIT'!$B6)</f>
        <v>KT 8619 YR</v>
      </c>
      <c r="B85" s="6" t="str">
        <f aca="false">IF($A85="","",INDEX(PlanningItemsList,4))</f>
        <v>Brake Pad</v>
      </c>
      <c r="C85" s="7"/>
      <c r="D85" s="7"/>
    </row>
    <row r="86" customFormat="false" ht="15" hidden="false" customHeight="false" outlineLevel="0" collapsed="false">
      <c r="A86" s="6" t="str">
        <f aca="false">IF('DATA UNIT'!$B6="","",'DATA UNIT'!$B6)</f>
        <v>KT 8619 YR</v>
      </c>
      <c r="B86" s="6" t="str">
        <f aca="false">IF($A86="","",INDEX(PlanningItemsList,5))</f>
        <v>Brake Shoe</v>
      </c>
      <c r="C86" s="7"/>
      <c r="D86" s="7"/>
    </row>
    <row r="87" customFormat="false" ht="15" hidden="false" customHeight="false" outlineLevel="0" collapsed="false">
      <c r="A87" s="6" t="str">
        <f aca="false">IF('DATA UNIT'!$B6="","",'DATA UNIT'!$B6)</f>
        <v>KT 8619 YR</v>
      </c>
      <c r="B87" s="6" t="str">
        <f aca="false">IF($A87="","",INDEX(PlanningItemsList,6))</f>
        <v>Accu</v>
      </c>
      <c r="C87" s="7"/>
      <c r="D87" s="7"/>
    </row>
    <row r="88" customFormat="false" ht="15" hidden="false" customHeight="false" outlineLevel="0" collapsed="false">
      <c r="A88" s="6" t="str">
        <f aca="false">IF('DATA UNIT'!$B6="","",'DATA UNIT'!$B6)</f>
        <v>KT 8619 YR</v>
      </c>
      <c r="B88" s="6" t="str">
        <f aca="false">IF($A88="","",INDEX(PlanningItemsList,7))</f>
        <v>Kampas Kopling Set</v>
      </c>
      <c r="C88" s="7"/>
      <c r="D88" s="7"/>
    </row>
    <row r="89" customFormat="false" ht="15" hidden="false" customHeight="false" outlineLevel="0" collapsed="false">
      <c r="A89" s="6" t="str">
        <f aca="false">IF('DATA UNIT'!$B6="","",'DATA UNIT'!$B6)</f>
        <v>KT 8619 YR</v>
      </c>
      <c r="B89" s="6" t="str">
        <f aca="false">IF($A89="","",INDEX(PlanningItemsList,8))</f>
        <v>Wiper Blade</v>
      </c>
      <c r="C89" s="7"/>
      <c r="D89" s="7"/>
    </row>
    <row r="90" customFormat="false" ht="15" hidden="false" customHeight="false" outlineLevel="0" collapsed="false">
      <c r="A90" s="6" t="str">
        <f aca="false">IF('DATA UNIT'!$B6="","",'DATA UNIT'!$B6)</f>
        <v>KT 8619 YR</v>
      </c>
      <c r="B90" s="6" t="str">
        <f aca="false">IF($A90="","",INDEX(PlanningItemsList,9))</f>
        <v>Ban Depan</v>
      </c>
      <c r="C90" s="7"/>
      <c r="D90" s="7"/>
    </row>
    <row r="91" customFormat="false" ht="15" hidden="false" customHeight="false" outlineLevel="0" collapsed="false">
      <c r="A91" s="6" t="str">
        <f aca="false">IF('DATA UNIT'!$B6="","",'DATA UNIT'!$B6)</f>
        <v>KT 8619 YR</v>
      </c>
      <c r="B91" s="6" t="str">
        <f aca="false">IF($A91="","",INDEX(PlanningItemsList,10))</f>
        <v>Ban Belakang</v>
      </c>
      <c r="C91" s="7"/>
      <c r="D91" s="7"/>
    </row>
    <row r="92" customFormat="false" ht="15" hidden="false" customHeight="false" outlineLevel="0" collapsed="false">
      <c r="A92" s="6" t="str">
        <f aca="false">IF('DATA UNIT'!$B6="","",'DATA UNIT'!$B6)</f>
        <v>KT 8619 YR</v>
      </c>
      <c r="B92" s="6" t="str">
        <f aca="false">IF($A92="","",INDEX(PlanningItemsList,11))</f>
        <v>Ban Serep</v>
      </c>
      <c r="C92" s="7"/>
      <c r="D92" s="7"/>
    </row>
    <row r="93" customFormat="false" ht="15" hidden="false" customHeight="false" outlineLevel="0" collapsed="false">
      <c r="A93" s="6" t="str">
        <f aca="false">IF('DATA UNIT'!$B6="","",'DATA UNIT'!$B6)</f>
        <v>KT 8619 YR</v>
      </c>
      <c r="B93" s="6" t="str">
        <f aca="false">IF($A93="","",INDEX(PlanningItemsList,12))</f>
        <v>Greasing</v>
      </c>
      <c r="C93" s="7"/>
      <c r="D93" s="7"/>
    </row>
    <row r="94" customFormat="false" ht="15" hidden="false" customHeight="false" outlineLevel="0" collapsed="false">
      <c r="A94" s="6" t="str">
        <f aca="false">IF('DATA UNIT'!$B6="","",'DATA UNIT'!$B6)</f>
        <v>KT 8619 YR</v>
      </c>
      <c r="B94" s="6" t="str">
        <f aca="false">IF($A94="","",INDEX(PlanningItemsList,13))</f>
        <v>V-Belt</v>
      </c>
      <c r="C94" s="7"/>
      <c r="D94" s="7"/>
    </row>
    <row r="95" customFormat="false" ht="15" hidden="false" customHeight="false" outlineLevel="0" collapsed="false">
      <c r="A95" s="6" t="str">
        <f aca="false">IF('DATA UNIT'!$B6="","",'DATA UNIT'!$B6)</f>
        <v>KT 8619 YR</v>
      </c>
      <c r="B95" s="6" t="str">
        <f aca="false">IF($A95="","",INDEX(PlanningItemsList,14))</f>
        <v>Sarung Jok</v>
      </c>
      <c r="C95" s="7"/>
      <c r="D95" s="7"/>
    </row>
    <row r="96" customFormat="false" ht="15" hidden="false" customHeight="false" outlineLevel="0" collapsed="false">
      <c r="A96" s="6" t="str">
        <f aca="false">IF('DATA UNIT'!$B6="","",'DATA UNIT'!$B6)</f>
        <v>KT 8619 YR</v>
      </c>
      <c r="B96" s="6" t="str">
        <f aca="false">IF($A96="","",INDEX(PlanningItemsList,15))</f>
        <v>Karpet Karet</v>
      </c>
      <c r="C96" s="7"/>
      <c r="D96" s="7"/>
    </row>
    <row r="97" customFormat="false" ht="15" hidden="false" customHeight="false" outlineLevel="0" collapsed="false">
      <c r="A97" s="6" t="str">
        <f aca="false">IF('DATA UNIT'!$B6="","",'DATA UNIT'!$B6)</f>
        <v>KT 8619 YR</v>
      </c>
      <c r="B97" s="6" t="str">
        <f aca="false">IF($A97="","",INDEX(PlanningItemsList,16))</f>
        <v>Karpet Dasar</v>
      </c>
      <c r="C97" s="7"/>
      <c r="D97" s="7"/>
    </row>
    <row r="98" customFormat="false" ht="15" hidden="false" customHeight="false" outlineLevel="0" collapsed="false">
      <c r="A98" s="6" t="str">
        <f aca="false">IF('DATA UNIT'!$B6="","",'DATA UNIT'!$B6)</f>
        <v>KT 8619 YR</v>
      </c>
      <c r="B98" s="6" t="str">
        <f aca="false">IF($A98="","",INDEX(PlanningItemsList,17))</f>
        <v>Flushing Radiator</v>
      </c>
      <c r="C98" s="7"/>
      <c r="D98" s="7"/>
    </row>
    <row r="99" customFormat="false" ht="15" hidden="false" customHeight="false" outlineLevel="0" collapsed="false">
      <c r="A99" s="6" t="str">
        <f aca="false">IF('DATA UNIT'!$B6="","",'DATA UNIT'!$B6)</f>
        <v>KT 8619 YR</v>
      </c>
      <c r="B99" s="6" t="str">
        <f aca="false">IF($A99="","",INDEX(PlanningItemsList,18))</f>
        <v>Flushing Steering</v>
      </c>
      <c r="C99" s="7"/>
      <c r="D99" s="7"/>
    </row>
    <row r="100" customFormat="false" ht="15" hidden="false" customHeight="false" outlineLevel="0" collapsed="false">
      <c r="A100" s="6" t="str">
        <f aca="false">IF('DATA UNIT'!$B6="","",'DATA UNIT'!$B6)</f>
        <v>KT 8619 YR</v>
      </c>
      <c r="B100" s="6" t="str">
        <f aca="false">IF($A100="","",INDEX(PlanningItemsList,19))</f>
        <v>Flushing Injector</v>
      </c>
      <c r="C100" s="7"/>
      <c r="D100" s="7"/>
    </row>
    <row r="101" customFormat="false" ht="15" hidden="false" customHeight="false" outlineLevel="0" collapsed="false">
      <c r="A101" s="6" t="str">
        <f aca="false">IF('DATA UNIT'!$B6="","",'DATA UNIT'!$B6)</f>
        <v>KT 8619 YR</v>
      </c>
      <c r="B101" s="6" t="str">
        <f aca="false">IF($A101="","",INDEX(PlanningItemsList,20))</f>
        <v>Flushing Rem</v>
      </c>
      <c r="C101" s="7"/>
      <c r="D101" s="7"/>
    </row>
    <row r="102" customFormat="false" ht="15" hidden="false" customHeight="false" outlineLevel="0" collapsed="false">
      <c r="A102" s="6" t="str">
        <f aca="false">IF('DATA UNIT'!$B7="","",'DATA UNIT'!$B7)</f>
        <v>KT 8621 YR</v>
      </c>
      <c r="B102" s="6" t="str">
        <f aca="false">IF($A102="","",INDEX(PlanningItemsList,1))</f>
        <v>PM Check / Reguler Services</v>
      </c>
      <c r="C102" s="7"/>
      <c r="D102" s="7"/>
    </row>
    <row r="103" customFormat="false" ht="15" hidden="false" customHeight="false" outlineLevel="0" collapsed="false">
      <c r="A103" s="6" t="str">
        <f aca="false">IF('DATA UNIT'!$B7="","",'DATA UNIT'!$B7)</f>
        <v>KT 8621 YR</v>
      </c>
      <c r="B103" s="6" t="str">
        <f aca="false">IF($A103="","",INDEX(PlanningItemsList,2))</f>
        <v>Service A</v>
      </c>
      <c r="C103" s="7"/>
      <c r="D103" s="7"/>
    </row>
    <row r="104" customFormat="false" ht="15" hidden="false" customHeight="false" outlineLevel="0" collapsed="false">
      <c r="A104" s="6" t="str">
        <f aca="false">IF('DATA UNIT'!$B7="","",'DATA UNIT'!$B7)</f>
        <v>KT 8621 YR</v>
      </c>
      <c r="B104" s="6" t="str">
        <f aca="false">IF($A104="","",INDEX(PlanningItemsList,3))</f>
        <v>Service B</v>
      </c>
      <c r="C104" s="7"/>
      <c r="D104" s="7"/>
    </row>
    <row r="105" customFormat="false" ht="15" hidden="false" customHeight="false" outlineLevel="0" collapsed="false">
      <c r="A105" s="6" t="str">
        <f aca="false">IF('DATA UNIT'!$B7="","",'DATA UNIT'!$B7)</f>
        <v>KT 8621 YR</v>
      </c>
      <c r="B105" s="6" t="str">
        <f aca="false">IF($A105="","",INDEX(PlanningItemsList,4))</f>
        <v>Brake Pad</v>
      </c>
      <c r="C105" s="7"/>
      <c r="D105" s="7"/>
    </row>
    <row r="106" customFormat="false" ht="15" hidden="false" customHeight="false" outlineLevel="0" collapsed="false">
      <c r="A106" s="6" t="str">
        <f aca="false">IF('DATA UNIT'!$B7="","",'DATA UNIT'!$B7)</f>
        <v>KT 8621 YR</v>
      </c>
      <c r="B106" s="6" t="str">
        <f aca="false">IF($A106="","",INDEX(PlanningItemsList,5))</f>
        <v>Brake Shoe</v>
      </c>
      <c r="C106" s="7"/>
      <c r="D106" s="7"/>
    </row>
    <row r="107" customFormat="false" ht="15" hidden="false" customHeight="false" outlineLevel="0" collapsed="false">
      <c r="A107" s="6" t="str">
        <f aca="false">IF('DATA UNIT'!$B7="","",'DATA UNIT'!$B7)</f>
        <v>KT 8621 YR</v>
      </c>
      <c r="B107" s="6" t="str">
        <f aca="false">IF($A107="","",INDEX(PlanningItemsList,6))</f>
        <v>Accu</v>
      </c>
      <c r="C107" s="7"/>
      <c r="D107" s="7"/>
    </row>
    <row r="108" customFormat="false" ht="15" hidden="false" customHeight="false" outlineLevel="0" collapsed="false">
      <c r="A108" s="6" t="str">
        <f aca="false">IF('DATA UNIT'!$B7="","",'DATA UNIT'!$B7)</f>
        <v>KT 8621 YR</v>
      </c>
      <c r="B108" s="6" t="str">
        <f aca="false">IF($A108="","",INDEX(PlanningItemsList,7))</f>
        <v>Kampas Kopling Set</v>
      </c>
      <c r="C108" s="7"/>
      <c r="D108" s="7"/>
    </row>
    <row r="109" customFormat="false" ht="15" hidden="false" customHeight="false" outlineLevel="0" collapsed="false">
      <c r="A109" s="6" t="str">
        <f aca="false">IF('DATA UNIT'!$B7="","",'DATA UNIT'!$B7)</f>
        <v>KT 8621 YR</v>
      </c>
      <c r="B109" s="6" t="str">
        <f aca="false">IF($A109="","",INDEX(PlanningItemsList,8))</f>
        <v>Wiper Blade</v>
      </c>
      <c r="C109" s="7"/>
      <c r="D109" s="7"/>
    </row>
    <row r="110" customFormat="false" ht="15" hidden="false" customHeight="false" outlineLevel="0" collapsed="false">
      <c r="A110" s="6" t="str">
        <f aca="false">IF('DATA UNIT'!$B7="","",'DATA UNIT'!$B7)</f>
        <v>KT 8621 YR</v>
      </c>
      <c r="B110" s="6" t="str">
        <f aca="false">IF($A110="","",INDEX(PlanningItemsList,9))</f>
        <v>Ban Depan</v>
      </c>
      <c r="C110" s="7"/>
      <c r="D110" s="7"/>
    </row>
    <row r="111" customFormat="false" ht="15" hidden="false" customHeight="false" outlineLevel="0" collapsed="false">
      <c r="A111" s="6" t="str">
        <f aca="false">IF('DATA UNIT'!$B7="","",'DATA UNIT'!$B7)</f>
        <v>KT 8621 YR</v>
      </c>
      <c r="B111" s="6" t="str">
        <f aca="false">IF($A111="","",INDEX(PlanningItemsList,10))</f>
        <v>Ban Belakang</v>
      </c>
      <c r="C111" s="7"/>
      <c r="D111" s="7"/>
    </row>
    <row r="112" customFormat="false" ht="15" hidden="false" customHeight="false" outlineLevel="0" collapsed="false">
      <c r="A112" s="6" t="str">
        <f aca="false">IF('DATA UNIT'!$B7="","",'DATA UNIT'!$B7)</f>
        <v>KT 8621 YR</v>
      </c>
      <c r="B112" s="6" t="str">
        <f aca="false">IF($A112="","",INDEX(PlanningItemsList,11))</f>
        <v>Ban Serep</v>
      </c>
      <c r="C112" s="7"/>
      <c r="D112" s="7"/>
    </row>
    <row r="113" customFormat="false" ht="15" hidden="false" customHeight="false" outlineLevel="0" collapsed="false">
      <c r="A113" s="6" t="str">
        <f aca="false">IF('DATA UNIT'!$B7="","",'DATA UNIT'!$B7)</f>
        <v>KT 8621 YR</v>
      </c>
      <c r="B113" s="6" t="str">
        <f aca="false">IF($A113="","",INDEX(PlanningItemsList,12))</f>
        <v>Greasing</v>
      </c>
      <c r="C113" s="7"/>
      <c r="D113" s="7"/>
    </row>
    <row r="114" customFormat="false" ht="15" hidden="false" customHeight="false" outlineLevel="0" collapsed="false">
      <c r="A114" s="6" t="str">
        <f aca="false">IF('DATA UNIT'!$B7="","",'DATA UNIT'!$B7)</f>
        <v>KT 8621 YR</v>
      </c>
      <c r="B114" s="6" t="str">
        <f aca="false">IF($A114="","",INDEX(PlanningItemsList,13))</f>
        <v>V-Belt</v>
      </c>
      <c r="C114" s="7"/>
      <c r="D114" s="7"/>
    </row>
    <row r="115" customFormat="false" ht="15" hidden="false" customHeight="false" outlineLevel="0" collapsed="false">
      <c r="A115" s="6" t="str">
        <f aca="false">IF('DATA UNIT'!$B7="","",'DATA UNIT'!$B7)</f>
        <v>KT 8621 YR</v>
      </c>
      <c r="B115" s="6" t="str">
        <f aca="false">IF($A115="","",INDEX(PlanningItemsList,14))</f>
        <v>Sarung Jok</v>
      </c>
      <c r="C115" s="7"/>
      <c r="D115" s="7"/>
    </row>
    <row r="116" customFormat="false" ht="15" hidden="false" customHeight="false" outlineLevel="0" collapsed="false">
      <c r="A116" s="6" t="str">
        <f aca="false">IF('DATA UNIT'!$B7="","",'DATA UNIT'!$B7)</f>
        <v>KT 8621 YR</v>
      </c>
      <c r="B116" s="6" t="str">
        <f aca="false">IF($A116="","",INDEX(PlanningItemsList,15))</f>
        <v>Karpet Karet</v>
      </c>
      <c r="C116" s="7"/>
      <c r="D116" s="7"/>
    </row>
    <row r="117" customFormat="false" ht="15" hidden="false" customHeight="false" outlineLevel="0" collapsed="false">
      <c r="A117" s="6" t="str">
        <f aca="false">IF('DATA UNIT'!$B7="","",'DATA UNIT'!$B7)</f>
        <v>KT 8621 YR</v>
      </c>
      <c r="B117" s="6" t="str">
        <f aca="false">IF($A117="","",INDEX(PlanningItemsList,16))</f>
        <v>Karpet Dasar</v>
      </c>
      <c r="C117" s="7"/>
      <c r="D117" s="7"/>
    </row>
    <row r="118" customFormat="false" ht="15" hidden="false" customHeight="false" outlineLevel="0" collapsed="false">
      <c r="A118" s="6" t="str">
        <f aca="false">IF('DATA UNIT'!$B7="","",'DATA UNIT'!$B7)</f>
        <v>KT 8621 YR</v>
      </c>
      <c r="B118" s="6" t="str">
        <f aca="false">IF($A118="","",INDEX(PlanningItemsList,17))</f>
        <v>Flushing Radiator</v>
      </c>
      <c r="C118" s="7"/>
      <c r="D118" s="7"/>
    </row>
    <row r="119" customFormat="false" ht="15" hidden="false" customHeight="false" outlineLevel="0" collapsed="false">
      <c r="A119" s="6" t="str">
        <f aca="false">IF('DATA UNIT'!$B7="","",'DATA UNIT'!$B7)</f>
        <v>KT 8621 YR</v>
      </c>
      <c r="B119" s="6" t="str">
        <f aca="false">IF($A119="","",INDEX(PlanningItemsList,18))</f>
        <v>Flushing Steering</v>
      </c>
      <c r="C119" s="7"/>
      <c r="D119" s="7"/>
    </row>
    <row r="120" customFormat="false" ht="15" hidden="false" customHeight="false" outlineLevel="0" collapsed="false">
      <c r="A120" s="6" t="str">
        <f aca="false">IF('DATA UNIT'!$B7="","",'DATA UNIT'!$B7)</f>
        <v>KT 8621 YR</v>
      </c>
      <c r="B120" s="6" t="str">
        <f aca="false">IF($A120="","",INDEX(PlanningItemsList,19))</f>
        <v>Flushing Injector</v>
      </c>
      <c r="C120" s="7"/>
      <c r="D120" s="7"/>
    </row>
    <row r="121" customFormat="false" ht="15" hidden="false" customHeight="false" outlineLevel="0" collapsed="false">
      <c r="A121" s="6" t="str">
        <f aca="false">IF('DATA UNIT'!$B7="","",'DATA UNIT'!$B7)</f>
        <v>KT 8621 YR</v>
      </c>
      <c r="B121" s="6" t="str">
        <f aca="false">IF($A121="","",INDEX(PlanningItemsList,20))</f>
        <v>Flushing Rem</v>
      </c>
      <c r="C121" s="7"/>
      <c r="D121" s="7"/>
    </row>
    <row r="122" customFormat="false" ht="15" hidden="false" customHeight="false" outlineLevel="0" collapsed="false">
      <c r="A122" s="6" t="str">
        <f aca="false">IF('DATA UNIT'!$B8="","",'DATA UNIT'!$B8)</f>
        <v>KT 8932 ZA</v>
      </c>
      <c r="B122" s="6" t="str">
        <f aca="false">IF($A122="","",INDEX(PlanningItemsList,1))</f>
        <v>PM Check / Reguler Services</v>
      </c>
      <c r="C122" s="7"/>
      <c r="D122" s="7"/>
    </row>
    <row r="123" customFormat="false" ht="15" hidden="false" customHeight="false" outlineLevel="0" collapsed="false">
      <c r="A123" s="6" t="str">
        <f aca="false">IF('DATA UNIT'!$B8="","",'DATA UNIT'!$B8)</f>
        <v>KT 8932 ZA</v>
      </c>
      <c r="B123" s="6" t="str">
        <f aca="false">IF($A123="","",INDEX(PlanningItemsList,2))</f>
        <v>Service A</v>
      </c>
      <c r="C123" s="7"/>
      <c r="D123" s="7"/>
    </row>
    <row r="124" customFormat="false" ht="15" hidden="false" customHeight="false" outlineLevel="0" collapsed="false">
      <c r="A124" s="6" t="str">
        <f aca="false">IF('DATA UNIT'!$B8="","",'DATA UNIT'!$B8)</f>
        <v>KT 8932 ZA</v>
      </c>
      <c r="B124" s="6" t="str">
        <f aca="false">IF($A124="","",INDEX(PlanningItemsList,3))</f>
        <v>Service B</v>
      </c>
      <c r="C124" s="7"/>
      <c r="D124" s="7"/>
    </row>
    <row r="125" customFormat="false" ht="15" hidden="false" customHeight="false" outlineLevel="0" collapsed="false">
      <c r="A125" s="6" t="str">
        <f aca="false">IF('DATA UNIT'!$B8="","",'DATA UNIT'!$B8)</f>
        <v>KT 8932 ZA</v>
      </c>
      <c r="B125" s="6" t="str">
        <f aca="false">IF($A125="","",INDEX(PlanningItemsList,4))</f>
        <v>Brake Pad</v>
      </c>
      <c r="C125" s="7"/>
      <c r="D125" s="7"/>
    </row>
    <row r="126" customFormat="false" ht="15" hidden="false" customHeight="false" outlineLevel="0" collapsed="false">
      <c r="A126" s="6" t="str">
        <f aca="false">IF('DATA UNIT'!$B8="","",'DATA UNIT'!$B8)</f>
        <v>KT 8932 ZA</v>
      </c>
      <c r="B126" s="6" t="str">
        <f aca="false">IF($A126="","",INDEX(PlanningItemsList,5))</f>
        <v>Brake Shoe</v>
      </c>
      <c r="C126" s="7"/>
      <c r="D126" s="7"/>
    </row>
    <row r="127" customFormat="false" ht="15" hidden="false" customHeight="false" outlineLevel="0" collapsed="false">
      <c r="A127" s="6" t="str">
        <f aca="false">IF('DATA UNIT'!$B8="","",'DATA UNIT'!$B8)</f>
        <v>KT 8932 ZA</v>
      </c>
      <c r="B127" s="6" t="str">
        <f aca="false">IF($A127="","",INDEX(PlanningItemsList,6))</f>
        <v>Accu</v>
      </c>
      <c r="C127" s="7"/>
      <c r="D127" s="7"/>
    </row>
    <row r="128" customFormat="false" ht="15" hidden="false" customHeight="false" outlineLevel="0" collapsed="false">
      <c r="A128" s="6" t="str">
        <f aca="false">IF('DATA UNIT'!$B8="","",'DATA UNIT'!$B8)</f>
        <v>KT 8932 ZA</v>
      </c>
      <c r="B128" s="6" t="str">
        <f aca="false">IF($A128="","",INDEX(PlanningItemsList,7))</f>
        <v>Kampas Kopling Set</v>
      </c>
      <c r="C128" s="7"/>
      <c r="D128" s="7"/>
    </row>
    <row r="129" customFormat="false" ht="15" hidden="false" customHeight="false" outlineLevel="0" collapsed="false">
      <c r="A129" s="6" t="str">
        <f aca="false">IF('DATA UNIT'!$B8="","",'DATA UNIT'!$B8)</f>
        <v>KT 8932 ZA</v>
      </c>
      <c r="B129" s="6" t="str">
        <f aca="false">IF($A129="","",INDEX(PlanningItemsList,8))</f>
        <v>Wiper Blade</v>
      </c>
      <c r="C129" s="7"/>
      <c r="D129" s="7"/>
    </row>
    <row r="130" customFormat="false" ht="15" hidden="false" customHeight="false" outlineLevel="0" collapsed="false">
      <c r="A130" s="6" t="str">
        <f aca="false">IF('DATA UNIT'!$B8="","",'DATA UNIT'!$B8)</f>
        <v>KT 8932 ZA</v>
      </c>
      <c r="B130" s="6" t="str">
        <f aca="false">IF($A130="","",INDEX(PlanningItemsList,9))</f>
        <v>Ban Depan</v>
      </c>
      <c r="C130" s="7"/>
      <c r="D130" s="7"/>
    </row>
    <row r="131" customFormat="false" ht="15" hidden="false" customHeight="false" outlineLevel="0" collapsed="false">
      <c r="A131" s="6" t="str">
        <f aca="false">IF('DATA UNIT'!$B8="","",'DATA UNIT'!$B8)</f>
        <v>KT 8932 ZA</v>
      </c>
      <c r="B131" s="6" t="str">
        <f aca="false">IF($A131="","",INDEX(PlanningItemsList,10))</f>
        <v>Ban Belakang</v>
      </c>
      <c r="C131" s="7"/>
      <c r="D131" s="7"/>
    </row>
    <row r="132" customFormat="false" ht="15" hidden="false" customHeight="false" outlineLevel="0" collapsed="false">
      <c r="A132" s="6" t="str">
        <f aca="false">IF('DATA UNIT'!$B8="","",'DATA UNIT'!$B8)</f>
        <v>KT 8932 ZA</v>
      </c>
      <c r="B132" s="6" t="str">
        <f aca="false">IF($A132="","",INDEX(PlanningItemsList,11))</f>
        <v>Ban Serep</v>
      </c>
      <c r="C132" s="7"/>
      <c r="D132" s="7"/>
    </row>
    <row r="133" customFormat="false" ht="15" hidden="false" customHeight="false" outlineLevel="0" collapsed="false">
      <c r="A133" s="6" t="str">
        <f aca="false">IF('DATA UNIT'!$B8="","",'DATA UNIT'!$B8)</f>
        <v>KT 8932 ZA</v>
      </c>
      <c r="B133" s="6" t="str">
        <f aca="false">IF($A133="","",INDEX(PlanningItemsList,12))</f>
        <v>Greasing</v>
      </c>
      <c r="C133" s="7"/>
      <c r="D133" s="7"/>
    </row>
    <row r="134" customFormat="false" ht="15" hidden="false" customHeight="false" outlineLevel="0" collapsed="false">
      <c r="A134" s="6" t="str">
        <f aca="false">IF('DATA UNIT'!$B8="","",'DATA UNIT'!$B8)</f>
        <v>KT 8932 ZA</v>
      </c>
      <c r="B134" s="6" t="str">
        <f aca="false">IF($A134="","",INDEX(PlanningItemsList,13))</f>
        <v>V-Belt</v>
      </c>
      <c r="C134" s="7"/>
      <c r="D134" s="7"/>
    </row>
    <row r="135" customFormat="false" ht="15" hidden="false" customHeight="false" outlineLevel="0" collapsed="false">
      <c r="A135" s="6" t="str">
        <f aca="false">IF('DATA UNIT'!$B8="","",'DATA UNIT'!$B8)</f>
        <v>KT 8932 ZA</v>
      </c>
      <c r="B135" s="6" t="str">
        <f aca="false">IF($A135="","",INDEX(PlanningItemsList,14))</f>
        <v>Sarung Jok</v>
      </c>
      <c r="C135" s="7"/>
      <c r="D135" s="7"/>
    </row>
    <row r="136" customFormat="false" ht="15" hidden="false" customHeight="false" outlineLevel="0" collapsed="false">
      <c r="A136" s="6" t="str">
        <f aca="false">IF('DATA UNIT'!$B8="","",'DATA UNIT'!$B8)</f>
        <v>KT 8932 ZA</v>
      </c>
      <c r="B136" s="6" t="str">
        <f aca="false">IF($A136="","",INDEX(PlanningItemsList,15))</f>
        <v>Karpet Karet</v>
      </c>
      <c r="C136" s="7"/>
      <c r="D136" s="7"/>
    </row>
    <row r="137" customFormat="false" ht="15" hidden="false" customHeight="false" outlineLevel="0" collapsed="false">
      <c r="A137" s="6" t="str">
        <f aca="false">IF('DATA UNIT'!$B8="","",'DATA UNIT'!$B8)</f>
        <v>KT 8932 ZA</v>
      </c>
      <c r="B137" s="6" t="str">
        <f aca="false">IF($A137="","",INDEX(PlanningItemsList,16))</f>
        <v>Karpet Dasar</v>
      </c>
      <c r="C137" s="7"/>
      <c r="D137" s="7"/>
    </row>
    <row r="138" customFormat="false" ht="15" hidden="false" customHeight="false" outlineLevel="0" collapsed="false">
      <c r="A138" s="6" t="str">
        <f aca="false">IF('DATA UNIT'!$B8="","",'DATA UNIT'!$B8)</f>
        <v>KT 8932 ZA</v>
      </c>
      <c r="B138" s="6" t="str">
        <f aca="false">IF($A138="","",INDEX(PlanningItemsList,17))</f>
        <v>Flushing Radiator</v>
      </c>
      <c r="C138" s="7"/>
      <c r="D138" s="7"/>
    </row>
    <row r="139" customFormat="false" ht="15" hidden="false" customHeight="false" outlineLevel="0" collapsed="false">
      <c r="A139" s="6" t="str">
        <f aca="false">IF('DATA UNIT'!$B8="","",'DATA UNIT'!$B8)</f>
        <v>KT 8932 ZA</v>
      </c>
      <c r="B139" s="6" t="str">
        <f aca="false">IF($A139="","",INDEX(PlanningItemsList,18))</f>
        <v>Flushing Steering</v>
      </c>
      <c r="C139" s="7"/>
      <c r="D139" s="7"/>
    </row>
    <row r="140" customFormat="false" ht="15" hidden="false" customHeight="false" outlineLevel="0" collapsed="false">
      <c r="A140" s="6" t="str">
        <f aca="false">IF('DATA UNIT'!$B8="","",'DATA UNIT'!$B8)</f>
        <v>KT 8932 ZA</v>
      </c>
      <c r="B140" s="6" t="str">
        <f aca="false">IF($A140="","",INDEX(PlanningItemsList,19))</f>
        <v>Flushing Injector</v>
      </c>
      <c r="C140" s="7"/>
      <c r="D140" s="7"/>
    </row>
    <row r="141" customFormat="false" ht="15" hidden="false" customHeight="false" outlineLevel="0" collapsed="false">
      <c r="A141" s="6" t="str">
        <f aca="false">IF('DATA UNIT'!$B8="","",'DATA UNIT'!$B8)</f>
        <v>KT 8932 ZA</v>
      </c>
      <c r="B141" s="6" t="str">
        <f aca="false">IF($A141="","",INDEX(PlanningItemsList,20))</f>
        <v>Flushing Rem</v>
      </c>
      <c r="C141" s="7"/>
      <c r="D141" s="7"/>
    </row>
    <row r="142" customFormat="false" ht="15" hidden="false" customHeight="false" outlineLevel="0" collapsed="false">
      <c r="A142" s="6" t="str">
        <f aca="false">IF('DATA UNIT'!$B9="","",'DATA UNIT'!$B9)</f>
        <v>KT 8942 ZE</v>
      </c>
      <c r="B142" s="6" t="str">
        <f aca="false">IF($A142="","",INDEX(PlanningItemsList,1))</f>
        <v>PM Check / Reguler Services</v>
      </c>
      <c r="C142" s="7"/>
      <c r="D142" s="7"/>
    </row>
    <row r="143" customFormat="false" ht="15" hidden="false" customHeight="false" outlineLevel="0" collapsed="false">
      <c r="A143" s="6" t="str">
        <f aca="false">IF('DATA UNIT'!$B9="","",'DATA UNIT'!$B9)</f>
        <v>KT 8942 ZE</v>
      </c>
      <c r="B143" s="6" t="str">
        <f aca="false">IF($A143="","",INDEX(PlanningItemsList,2))</f>
        <v>Service A</v>
      </c>
      <c r="C143" s="7"/>
      <c r="D143" s="7"/>
    </row>
    <row r="144" customFormat="false" ht="15" hidden="false" customHeight="false" outlineLevel="0" collapsed="false">
      <c r="A144" s="6" t="str">
        <f aca="false">IF('DATA UNIT'!$B9="","",'DATA UNIT'!$B9)</f>
        <v>KT 8942 ZE</v>
      </c>
      <c r="B144" s="6" t="str">
        <f aca="false">IF($A144="","",INDEX(PlanningItemsList,3))</f>
        <v>Service B</v>
      </c>
      <c r="C144" s="7"/>
      <c r="D144" s="7"/>
    </row>
    <row r="145" customFormat="false" ht="15" hidden="false" customHeight="false" outlineLevel="0" collapsed="false">
      <c r="A145" s="6" t="str">
        <f aca="false">IF('DATA UNIT'!$B9="","",'DATA UNIT'!$B9)</f>
        <v>KT 8942 ZE</v>
      </c>
      <c r="B145" s="6" t="str">
        <f aca="false">IF($A145="","",INDEX(PlanningItemsList,4))</f>
        <v>Brake Pad</v>
      </c>
      <c r="C145" s="7"/>
      <c r="D145" s="7"/>
    </row>
    <row r="146" customFormat="false" ht="15" hidden="false" customHeight="false" outlineLevel="0" collapsed="false">
      <c r="A146" s="6" t="str">
        <f aca="false">IF('DATA UNIT'!$B9="","",'DATA UNIT'!$B9)</f>
        <v>KT 8942 ZE</v>
      </c>
      <c r="B146" s="6" t="str">
        <f aca="false">IF($A146="","",INDEX(PlanningItemsList,5))</f>
        <v>Brake Shoe</v>
      </c>
      <c r="C146" s="7"/>
      <c r="D146" s="7"/>
    </row>
    <row r="147" customFormat="false" ht="15" hidden="false" customHeight="false" outlineLevel="0" collapsed="false">
      <c r="A147" s="6" t="str">
        <f aca="false">IF('DATA UNIT'!$B9="","",'DATA UNIT'!$B9)</f>
        <v>KT 8942 ZE</v>
      </c>
      <c r="B147" s="6" t="str">
        <f aca="false">IF($A147="","",INDEX(PlanningItemsList,6))</f>
        <v>Accu</v>
      </c>
      <c r="C147" s="7"/>
      <c r="D147" s="7"/>
    </row>
    <row r="148" customFormat="false" ht="15" hidden="false" customHeight="false" outlineLevel="0" collapsed="false">
      <c r="A148" s="6" t="str">
        <f aca="false">IF('DATA UNIT'!$B9="","",'DATA UNIT'!$B9)</f>
        <v>KT 8942 ZE</v>
      </c>
      <c r="B148" s="6" t="str">
        <f aca="false">IF($A148="","",INDEX(PlanningItemsList,7))</f>
        <v>Kampas Kopling Set</v>
      </c>
      <c r="C148" s="7"/>
      <c r="D148" s="7"/>
    </row>
    <row r="149" customFormat="false" ht="15" hidden="false" customHeight="false" outlineLevel="0" collapsed="false">
      <c r="A149" s="6" t="str">
        <f aca="false">IF('DATA UNIT'!$B9="","",'DATA UNIT'!$B9)</f>
        <v>KT 8942 ZE</v>
      </c>
      <c r="B149" s="6" t="str">
        <f aca="false">IF($A149="","",INDEX(PlanningItemsList,8))</f>
        <v>Wiper Blade</v>
      </c>
      <c r="C149" s="7"/>
      <c r="D149" s="7"/>
    </row>
    <row r="150" customFormat="false" ht="15" hidden="false" customHeight="false" outlineLevel="0" collapsed="false">
      <c r="A150" s="6" t="str">
        <f aca="false">IF('DATA UNIT'!$B9="","",'DATA UNIT'!$B9)</f>
        <v>KT 8942 ZE</v>
      </c>
      <c r="B150" s="6" t="str">
        <f aca="false">IF($A150="","",INDEX(PlanningItemsList,9))</f>
        <v>Ban Depan</v>
      </c>
      <c r="C150" s="7"/>
      <c r="D150" s="7"/>
    </row>
    <row r="151" customFormat="false" ht="15" hidden="false" customHeight="false" outlineLevel="0" collapsed="false">
      <c r="A151" s="6" t="str">
        <f aca="false">IF('DATA UNIT'!$B9="","",'DATA UNIT'!$B9)</f>
        <v>KT 8942 ZE</v>
      </c>
      <c r="B151" s="6" t="str">
        <f aca="false">IF($A151="","",INDEX(PlanningItemsList,10))</f>
        <v>Ban Belakang</v>
      </c>
      <c r="C151" s="7"/>
      <c r="D151" s="7"/>
    </row>
    <row r="152" customFormat="false" ht="15" hidden="false" customHeight="false" outlineLevel="0" collapsed="false">
      <c r="A152" s="6" t="str">
        <f aca="false">IF('DATA UNIT'!$B9="","",'DATA UNIT'!$B9)</f>
        <v>KT 8942 ZE</v>
      </c>
      <c r="B152" s="6" t="str">
        <f aca="false">IF($A152="","",INDEX(PlanningItemsList,11))</f>
        <v>Ban Serep</v>
      </c>
      <c r="C152" s="7"/>
      <c r="D152" s="7"/>
    </row>
    <row r="153" customFormat="false" ht="15" hidden="false" customHeight="false" outlineLevel="0" collapsed="false">
      <c r="A153" s="6" t="str">
        <f aca="false">IF('DATA UNIT'!$B9="","",'DATA UNIT'!$B9)</f>
        <v>KT 8942 ZE</v>
      </c>
      <c r="B153" s="6" t="str">
        <f aca="false">IF($A153="","",INDEX(PlanningItemsList,12))</f>
        <v>Greasing</v>
      </c>
      <c r="C153" s="7"/>
      <c r="D153" s="7"/>
    </row>
    <row r="154" customFormat="false" ht="15" hidden="false" customHeight="false" outlineLevel="0" collapsed="false">
      <c r="A154" s="6" t="str">
        <f aca="false">IF('DATA UNIT'!$B9="","",'DATA UNIT'!$B9)</f>
        <v>KT 8942 ZE</v>
      </c>
      <c r="B154" s="6" t="str">
        <f aca="false">IF($A154="","",INDEX(PlanningItemsList,13))</f>
        <v>V-Belt</v>
      </c>
      <c r="C154" s="7"/>
      <c r="D154" s="7"/>
    </row>
    <row r="155" customFormat="false" ht="15" hidden="false" customHeight="false" outlineLevel="0" collapsed="false">
      <c r="A155" s="6" t="str">
        <f aca="false">IF('DATA UNIT'!$B9="","",'DATA UNIT'!$B9)</f>
        <v>KT 8942 ZE</v>
      </c>
      <c r="B155" s="6" t="str">
        <f aca="false">IF($A155="","",INDEX(PlanningItemsList,14))</f>
        <v>Sarung Jok</v>
      </c>
      <c r="C155" s="7"/>
      <c r="D155" s="7"/>
    </row>
    <row r="156" customFormat="false" ht="15" hidden="false" customHeight="false" outlineLevel="0" collapsed="false">
      <c r="A156" s="6" t="str">
        <f aca="false">IF('DATA UNIT'!$B9="","",'DATA UNIT'!$B9)</f>
        <v>KT 8942 ZE</v>
      </c>
      <c r="B156" s="6" t="str">
        <f aca="false">IF($A156="","",INDEX(PlanningItemsList,15))</f>
        <v>Karpet Karet</v>
      </c>
      <c r="C156" s="7"/>
      <c r="D156" s="7"/>
    </row>
    <row r="157" customFormat="false" ht="15" hidden="false" customHeight="false" outlineLevel="0" collapsed="false">
      <c r="A157" s="6" t="str">
        <f aca="false">IF('DATA UNIT'!$B9="","",'DATA UNIT'!$B9)</f>
        <v>KT 8942 ZE</v>
      </c>
      <c r="B157" s="6" t="str">
        <f aca="false">IF($A157="","",INDEX(PlanningItemsList,16))</f>
        <v>Karpet Dasar</v>
      </c>
      <c r="C157" s="7"/>
      <c r="D157" s="7"/>
    </row>
    <row r="158" customFormat="false" ht="15" hidden="false" customHeight="false" outlineLevel="0" collapsed="false">
      <c r="A158" s="6" t="str">
        <f aca="false">IF('DATA UNIT'!$B9="","",'DATA UNIT'!$B9)</f>
        <v>KT 8942 ZE</v>
      </c>
      <c r="B158" s="6" t="str">
        <f aca="false">IF($A158="","",INDEX(PlanningItemsList,17))</f>
        <v>Flushing Radiator</v>
      </c>
      <c r="C158" s="7"/>
      <c r="D158" s="7"/>
    </row>
    <row r="159" customFormat="false" ht="15" hidden="false" customHeight="false" outlineLevel="0" collapsed="false">
      <c r="A159" s="6" t="str">
        <f aca="false">IF('DATA UNIT'!$B9="","",'DATA UNIT'!$B9)</f>
        <v>KT 8942 ZE</v>
      </c>
      <c r="B159" s="6" t="str">
        <f aca="false">IF($A159="","",INDEX(PlanningItemsList,18))</f>
        <v>Flushing Steering</v>
      </c>
      <c r="C159" s="7"/>
      <c r="D159" s="7"/>
    </row>
    <row r="160" customFormat="false" ht="15" hidden="false" customHeight="false" outlineLevel="0" collapsed="false">
      <c r="A160" s="6" t="str">
        <f aca="false">IF('DATA UNIT'!$B9="","",'DATA UNIT'!$B9)</f>
        <v>KT 8942 ZE</v>
      </c>
      <c r="B160" s="6" t="str">
        <f aca="false">IF($A160="","",INDEX(PlanningItemsList,19))</f>
        <v>Flushing Injector</v>
      </c>
      <c r="C160" s="7"/>
      <c r="D160" s="7"/>
    </row>
    <row r="161" customFormat="false" ht="15" hidden="false" customHeight="false" outlineLevel="0" collapsed="false">
      <c r="A161" s="6" t="str">
        <f aca="false">IF('DATA UNIT'!$B9="","",'DATA UNIT'!$B9)</f>
        <v>KT 8942 ZE</v>
      </c>
      <c r="B161" s="6" t="str">
        <f aca="false">IF($A161="","",INDEX(PlanningItemsList,20))</f>
        <v>Flushing Rem</v>
      </c>
      <c r="C161" s="7"/>
      <c r="D161" s="7"/>
    </row>
    <row r="162" customFormat="false" ht="15" hidden="false" customHeight="false" outlineLevel="0" collapsed="false">
      <c r="A162" s="6" t="str">
        <f aca="false">IF('DATA UNIT'!$B10="","",'DATA UNIT'!$B10)</f>
        <v>KT 1538 HC</v>
      </c>
      <c r="B162" s="6" t="str">
        <f aca="false">IF($A162="","",INDEX(PlanningItemsList,1))</f>
        <v>PM Check / Reguler Services</v>
      </c>
      <c r="C162" s="7"/>
      <c r="D162" s="7"/>
    </row>
    <row r="163" customFormat="false" ht="15" hidden="false" customHeight="false" outlineLevel="0" collapsed="false">
      <c r="A163" s="6" t="str">
        <f aca="false">IF('DATA UNIT'!$B10="","",'DATA UNIT'!$B10)</f>
        <v>KT 1538 HC</v>
      </c>
      <c r="B163" s="6" t="str">
        <f aca="false">IF($A163="","",INDEX(PlanningItemsList,2))</f>
        <v>Service A</v>
      </c>
      <c r="C163" s="7"/>
      <c r="D163" s="7"/>
    </row>
    <row r="164" customFormat="false" ht="15" hidden="false" customHeight="false" outlineLevel="0" collapsed="false">
      <c r="A164" s="6" t="str">
        <f aca="false">IF('DATA UNIT'!$B10="","",'DATA UNIT'!$B10)</f>
        <v>KT 1538 HC</v>
      </c>
      <c r="B164" s="6" t="str">
        <f aca="false">IF($A164="","",INDEX(PlanningItemsList,3))</f>
        <v>Service B</v>
      </c>
      <c r="C164" s="7"/>
      <c r="D164" s="7"/>
    </row>
    <row r="165" customFormat="false" ht="15" hidden="false" customHeight="false" outlineLevel="0" collapsed="false">
      <c r="A165" s="6" t="str">
        <f aca="false">IF('DATA UNIT'!$B10="","",'DATA UNIT'!$B10)</f>
        <v>KT 1538 HC</v>
      </c>
      <c r="B165" s="6" t="str">
        <f aca="false">IF($A165="","",INDEX(PlanningItemsList,4))</f>
        <v>Brake Pad</v>
      </c>
      <c r="C165" s="7"/>
      <c r="D165" s="7"/>
    </row>
    <row r="166" customFormat="false" ht="15" hidden="false" customHeight="false" outlineLevel="0" collapsed="false">
      <c r="A166" s="6" t="str">
        <f aca="false">IF('DATA UNIT'!$B10="","",'DATA UNIT'!$B10)</f>
        <v>KT 1538 HC</v>
      </c>
      <c r="B166" s="6" t="str">
        <f aca="false">IF($A166="","",INDEX(PlanningItemsList,5))</f>
        <v>Brake Shoe</v>
      </c>
      <c r="C166" s="7"/>
      <c r="D166" s="7"/>
    </row>
    <row r="167" customFormat="false" ht="15" hidden="false" customHeight="false" outlineLevel="0" collapsed="false">
      <c r="A167" s="6" t="str">
        <f aca="false">IF('DATA UNIT'!$B10="","",'DATA UNIT'!$B10)</f>
        <v>KT 1538 HC</v>
      </c>
      <c r="B167" s="6" t="str">
        <f aca="false">IF($A167="","",INDEX(PlanningItemsList,6))</f>
        <v>Accu</v>
      </c>
      <c r="C167" s="7"/>
      <c r="D167" s="7"/>
    </row>
    <row r="168" customFormat="false" ht="15" hidden="false" customHeight="false" outlineLevel="0" collapsed="false">
      <c r="A168" s="6" t="str">
        <f aca="false">IF('DATA UNIT'!$B10="","",'DATA UNIT'!$B10)</f>
        <v>KT 1538 HC</v>
      </c>
      <c r="B168" s="6" t="str">
        <f aca="false">IF($A168="","",INDEX(PlanningItemsList,7))</f>
        <v>Kampas Kopling Set</v>
      </c>
      <c r="C168" s="7"/>
      <c r="D168" s="7"/>
    </row>
    <row r="169" customFormat="false" ht="15" hidden="false" customHeight="false" outlineLevel="0" collapsed="false">
      <c r="A169" s="6" t="str">
        <f aca="false">IF('DATA UNIT'!$B10="","",'DATA UNIT'!$B10)</f>
        <v>KT 1538 HC</v>
      </c>
      <c r="B169" s="6" t="str">
        <f aca="false">IF($A169="","",INDEX(PlanningItemsList,8))</f>
        <v>Wiper Blade</v>
      </c>
      <c r="C169" s="7"/>
      <c r="D169" s="7"/>
    </row>
    <row r="170" customFormat="false" ht="15" hidden="false" customHeight="false" outlineLevel="0" collapsed="false">
      <c r="A170" s="6" t="str">
        <f aca="false">IF('DATA UNIT'!$B10="","",'DATA UNIT'!$B10)</f>
        <v>KT 1538 HC</v>
      </c>
      <c r="B170" s="6" t="str">
        <f aca="false">IF($A170="","",INDEX(PlanningItemsList,9))</f>
        <v>Ban Depan</v>
      </c>
      <c r="C170" s="7"/>
      <c r="D170" s="7"/>
    </row>
    <row r="171" customFormat="false" ht="15" hidden="false" customHeight="false" outlineLevel="0" collapsed="false">
      <c r="A171" s="6" t="str">
        <f aca="false">IF('DATA UNIT'!$B10="","",'DATA UNIT'!$B10)</f>
        <v>KT 1538 HC</v>
      </c>
      <c r="B171" s="6" t="str">
        <f aca="false">IF($A171="","",INDEX(PlanningItemsList,10))</f>
        <v>Ban Belakang</v>
      </c>
      <c r="C171" s="7"/>
      <c r="D171" s="7"/>
    </row>
    <row r="172" customFormat="false" ht="15" hidden="false" customHeight="false" outlineLevel="0" collapsed="false">
      <c r="A172" s="6" t="str">
        <f aca="false">IF('DATA UNIT'!$B10="","",'DATA UNIT'!$B10)</f>
        <v>KT 1538 HC</v>
      </c>
      <c r="B172" s="6" t="str">
        <f aca="false">IF($A172="","",INDEX(PlanningItemsList,11))</f>
        <v>Ban Serep</v>
      </c>
      <c r="C172" s="7"/>
      <c r="D172" s="7"/>
    </row>
    <row r="173" customFormat="false" ht="15" hidden="false" customHeight="false" outlineLevel="0" collapsed="false">
      <c r="A173" s="6" t="str">
        <f aca="false">IF('DATA UNIT'!$B10="","",'DATA UNIT'!$B10)</f>
        <v>KT 1538 HC</v>
      </c>
      <c r="B173" s="6" t="str">
        <f aca="false">IF($A173="","",INDEX(PlanningItemsList,12))</f>
        <v>Greasing</v>
      </c>
      <c r="C173" s="7"/>
      <c r="D173" s="7"/>
    </row>
    <row r="174" customFormat="false" ht="15" hidden="false" customHeight="false" outlineLevel="0" collapsed="false">
      <c r="A174" s="6" t="str">
        <f aca="false">IF('DATA UNIT'!$B10="","",'DATA UNIT'!$B10)</f>
        <v>KT 1538 HC</v>
      </c>
      <c r="B174" s="6" t="str">
        <f aca="false">IF($A174="","",INDEX(PlanningItemsList,13))</f>
        <v>V-Belt</v>
      </c>
      <c r="C174" s="7"/>
      <c r="D174" s="7"/>
    </row>
    <row r="175" customFormat="false" ht="15" hidden="false" customHeight="false" outlineLevel="0" collapsed="false">
      <c r="A175" s="6" t="str">
        <f aca="false">IF('DATA UNIT'!$B10="","",'DATA UNIT'!$B10)</f>
        <v>KT 1538 HC</v>
      </c>
      <c r="B175" s="6" t="str">
        <f aca="false">IF($A175="","",INDEX(PlanningItemsList,14))</f>
        <v>Sarung Jok</v>
      </c>
      <c r="C175" s="7"/>
      <c r="D175" s="7"/>
    </row>
    <row r="176" customFormat="false" ht="15" hidden="false" customHeight="false" outlineLevel="0" collapsed="false">
      <c r="A176" s="6" t="str">
        <f aca="false">IF('DATA UNIT'!$B10="","",'DATA UNIT'!$B10)</f>
        <v>KT 1538 HC</v>
      </c>
      <c r="B176" s="6" t="str">
        <f aca="false">IF($A176="","",INDEX(PlanningItemsList,15))</f>
        <v>Karpet Karet</v>
      </c>
      <c r="C176" s="7"/>
      <c r="D176" s="7"/>
    </row>
    <row r="177" customFormat="false" ht="15" hidden="false" customHeight="false" outlineLevel="0" collapsed="false">
      <c r="A177" s="6" t="str">
        <f aca="false">IF('DATA UNIT'!$B10="","",'DATA UNIT'!$B10)</f>
        <v>KT 1538 HC</v>
      </c>
      <c r="B177" s="6" t="str">
        <f aca="false">IF($A177="","",INDEX(PlanningItemsList,16))</f>
        <v>Karpet Dasar</v>
      </c>
      <c r="C177" s="7"/>
      <c r="D177" s="7"/>
    </row>
    <row r="178" customFormat="false" ht="15" hidden="false" customHeight="false" outlineLevel="0" collapsed="false">
      <c r="A178" s="6" t="str">
        <f aca="false">IF('DATA UNIT'!$B10="","",'DATA UNIT'!$B10)</f>
        <v>KT 1538 HC</v>
      </c>
      <c r="B178" s="6" t="str">
        <f aca="false">IF($A178="","",INDEX(PlanningItemsList,17))</f>
        <v>Flushing Radiator</v>
      </c>
      <c r="C178" s="7"/>
      <c r="D178" s="7"/>
    </row>
    <row r="179" customFormat="false" ht="15" hidden="false" customHeight="false" outlineLevel="0" collapsed="false">
      <c r="A179" s="6" t="str">
        <f aca="false">IF('DATA UNIT'!$B10="","",'DATA UNIT'!$B10)</f>
        <v>KT 1538 HC</v>
      </c>
      <c r="B179" s="6" t="str">
        <f aca="false">IF($A179="","",INDEX(PlanningItemsList,18))</f>
        <v>Flushing Steering</v>
      </c>
      <c r="C179" s="7"/>
      <c r="D179" s="7"/>
    </row>
    <row r="180" customFormat="false" ht="15" hidden="false" customHeight="false" outlineLevel="0" collapsed="false">
      <c r="A180" s="6" t="str">
        <f aca="false">IF('DATA UNIT'!$B10="","",'DATA UNIT'!$B10)</f>
        <v>KT 1538 HC</v>
      </c>
      <c r="B180" s="6" t="str">
        <f aca="false">IF($A180="","",INDEX(PlanningItemsList,19))</f>
        <v>Flushing Injector</v>
      </c>
      <c r="C180" s="7"/>
      <c r="D180" s="7"/>
    </row>
    <row r="181" customFormat="false" ht="15" hidden="false" customHeight="false" outlineLevel="0" collapsed="false">
      <c r="A181" s="6" t="str">
        <f aca="false">IF('DATA UNIT'!$B10="","",'DATA UNIT'!$B10)</f>
        <v>KT 1538 HC</v>
      </c>
      <c r="B181" s="6" t="str">
        <f aca="false">IF($A181="","",INDEX(PlanningItemsList,20))</f>
        <v>Flushing Rem</v>
      </c>
      <c r="C181" s="7"/>
      <c r="D181" s="7"/>
    </row>
    <row r="182" customFormat="false" ht="15" hidden="false" customHeight="false" outlineLevel="0" collapsed="false">
      <c r="A182" s="6" t="str">
        <f aca="false">IF('DATA UNIT'!$B11="","",'DATA UNIT'!$B11)</f>
        <v>KT 8926 ZK</v>
      </c>
      <c r="B182" s="6" t="str">
        <f aca="false">IF($A182="","",INDEX(PlanningItemsList,1))</f>
        <v>PM Check / Reguler Services</v>
      </c>
      <c r="C182" s="7"/>
      <c r="D182" s="7"/>
    </row>
    <row r="183" customFormat="false" ht="15" hidden="false" customHeight="false" outlineLevel="0" collapsed="false">
      <c r="A183" s="6" t="str">
        <f aca="false">IF('DATA UNIT'!$B11="","",'DATA UNIT'!$B11)</f>
        <v>KT 8926 ZK</v>
      </c>
      <c r="B183" s="6" t="str">
        <f aca="false">IF($A183="","",INDEX(PlanningItemsList,2))</f>
        <v>Service A</v>
      </c>
      <c r="C183" s="7"/>
      <c r="D183" s="7"/>
    </row>
    <row r="184" customFormat="false" ht="15" hidden="false" customHeight="false" outlineLevel="0" collapsed="false">
      <c r="A184" s="6" t="str">
        <f aca="false">IF('DATA UNIT'!$B11="","",'DATA UNIT'!$B11)</f>
        <v>KT 8926 ZK</v>
      </c>
      <c r="B184" s="6" t="str">
        <f aca="false">IF($A184="","",INDEX(PlanningItemsList,3))</f>
        <v>Service B</v>
      </c>
      <c r="C184" s="7"/>
      <c r="D184" s="7"/>
    </row>
    <row r="185" customFormat="false" ht="15" hidden="false" customHeight="false" outlineLevel="0" collapsed="false">
      <c r="A185" s="6" t="str">
        <f aca="false">IF('DATA UNIT'!$B11="","",'DATA UNIT'!$B11)</f>
        <v>KT 8926 ZK</v>
      </c>
      <c r="B185" s="6" t="str">
        <f aca="false">IF($A185="","",INDEX(PlanningItemsList,4))</f>
        <v>Brake Pad</v>
      </c>
      <c r="C185" s="7"/>
      <c r="D185" s="7"/>
    </row>
    <row r="186" customFormat="false" ht="15" hidden="false" customHeight="false" outlineLevel="0" collapsed="false">
      <c r="A186" s="6" t="str">
        <f aca="false">IF('DATA UNIT'!$B11="","",'DATA UNIT'!$B11)</f>
        <v>KT 8926 ZK</v>
      </c>
      <c r="B186" s="6" t="str">
        <f aca="false">IF($A186="","",INDEX(PlanningItemsList,5))</f>
        <v>Brake Shoe</v>
      </c>
      <c r="C186" s="7"/>
      <c r="D186" s="7"/>
    </row>
    <row r="187" customFormat="false" ht="15" hidden="false" customHeight="false" outlineLevel="0" collapsed="false">
      <c r="A187" s="6" t="str">
        <f aca="false">IF('DATA UNIT'!$B11="","",'DATA UNIT'!$B11)</f>
        <v>KT 8926 ZK</v>
      </c>
      <c r="B187" s="6" t="str">
        <f aca="false">IF($A187="","",INDEX(PlanningItemsList,6))</f>
        <v>Accu</v>
      </c>
      <c r="C187" s="7"/>
      <c r="D187" s="7"/>
    </row>
    <row r="188" customFormat="false" ht="15" hidden="false" customHeight="false" outlineLevel="0" collapsed="false">
      <c r="A188" s="6" t="str">
        <f aca="false">IF('DATA UNIT'!$B11="","",'DATA UNIT'!$B11)</f>
        <v>KT 8926 ZK</v>
      </c>
      <c r="B188" s="6" t="str">
        <f aca="false">IF($A188="","",INDEX(PlanningItemsList,7))</f>
        <v>Kampas Kopling Set</v>
      </c>
      <c r="C188" s="7"/>
      <c r="D188" s="7"/>
    </row>
    <row r="189" customFormat="false" ht="15" hidden="false" customHeight="false" outlineLevel="0" collapsed="false">
      <c r="A189" s="6" t="str">
        <f aca="false">IF('DATA UNIT'!$B11="","",'DATA UNIT'!$B11)</f>
        <v>KT 8926 ZK</v>
      </c>
      <c r="B189" s="6" t="str">
        <f aca="false">IF($A189="","",INDEX(PlanningItemsList,8))</f>
        <v>Wiper Blade</v>
      </c>
      <c r="C189" s="7"/>
      <c r="D189" s="7"/>
    </row>
    <row r="190" customFormat="false" ht="15" hidden="false" customHeight="false" outlineLevel="0" collapsed="false">
      <c r="A190" s="6" t="str">
        <f aca="false">IF('DATA UNIT'!$B11="","",'DATA UNIT'!$B11)</f>
        <v>KT 8926 ZK</v>
      </c>
      <c r="B190" s="6" t="str">
        <f aca="false">IF($A190="","",INDEX(PlanningItemsList,9))</f>
        <v>Ban Depan</v>
      </c>
      <c r="C190" s="7"/>
      <c r="D190" s="7"/>
    </row>
    <row r="191" customFormat="false" ht="15" hidden="false" customHeight="false" outlineLevel="0" collapsed="false">
      <c r="A191" s="6" t="str">
        <f aca="false">IF('DATA UNIT'!$B11="","",'DATA UNIT'!$B11)</f>
        <v>KT 8926 ZK</v>
      </c>
      <c r="B191" s="6" t="str">
        <f aca="false">IF($A191="","",INDEX(PlanningItemsList,10))</f>
        <v>Ban Belakang</v>
      </c>
      <c r="C191" s="7"/>
      <c r="D191" s="7"/>
    </row>
    <row r="192" customFormat="false" ht="15" hidden="false" customHeight="false" outlineLevel="0" collapsed="false">
      <c r="A192" s="6" t="str">
        <f aca="false">IF('DATA UNIT'!$B11="","",'DATA UNIT'!$B11)</f>
        <v>KT 8926 ZK</v>
      </c>
      <c r="B192" s="6" t="str">
        <f aca="false">IF($A192="","",INDEX(PlanningItemsList,11))</f>
        <v>Ban Serep</v>
      </c>
      <c r="C192" s="7"/>
      <c r="D192" s="7"/>
    </row>
    <row r="193" customFormat="false" ht="15" hidden="false" customHeight="false" outlineLevel="0" collapsed="false">
      <c r="A193" s="6" t="str">
        <f aca="false">IF('DATA UNIT'!$B11="","",'DATA UNIT'!$B11)</f>
        <v>KT 8926 ZK</v>
      </c>
      <c r="B193" s="6" t="str">
        <f aca="false">IF($A193="","",INDEX(PlanningItemsList,12))</f>
        <v>Greasing</v>
      </c>
      <c r="C193" s="7"/>
      <c r="D193" s="7"/>
    </row>
    <row r="194" customFormat="false" ht="15" hidden="false" customHeight="false" outlineLevel="0" collapsed="false">
      <c r="A194" s="6" t="str">
        <f aca="false">IF('DATA UNIT'!$B11="","",'DATA UNIT'!$B11)</f>
        <v>KT 8926 ZK</v>
      </c>
      <c r="B194" s="6" t="str">
        <f aca="false">IF($A194="","",INDEX(PlanningItemsList,13))</f>
        <v>V-Belt</v>
      </c>
      <c r="C194" s="7"/>
      <c r="D194" s="7"/>
    </row>
    <row r="195" customFormat="false" ht="15" hidden="false" customHeight="false" outlineLevel="0" collapsed="false">
      <c r="A195" s="6" t="str">
        <f aca="false">IF('DATA UNIT'!$B11="","",'DATA UNIT'!$B11)</f>
        <v>KT 8926 ZK</v>
      </c>
      <c r="B195" s="6" t="str">
        <f aca="false">IF($A195="","",INDEX(PlanningItemsList,14))</f>
        <v>Sarung Jok</v>
      </c>
      <c r="C195" s="7"/>
      <c r="D195" s="7"/>
    </row>
    <row r="196" customFormat="false" ht="15" hidden="false" customHeight="false" outlineLevel="0" collapsed="false">
      <c r="A196" s="6" t="str">
        <f aca="false">IF('DATA UNIT'!$B11="","",'DATA UNIT'!$B11)</f>
        <v>KT 8926 ZK</v>
      </c>
      <c r="B196" s="6" t="str">
        <f aca="false">IF($A196="","",INDEX(PlanningItemsList,15))</f>
        <v>Karpet Karet</v>
      </c>
      <c r="C196" s="7"/>
      <c r="D196" s="7"/>
    </row>
    <row r="197" customFormat="false" ht="15" hidden="false" customHeight="false" outlineLevel="0" collapsed="false">
      <c r="A197" s="6" t="str">
        <f aca="false">IF('DATA UNIT'!$B11="","",'DATA UNIT'!$B11)</f>
        <v>KT 8926 ZK</v>
      </c>
      <c r="B197" s="6" t="str">
        <f aca="false">IF($A197="","",INDEX(PlanningItemsList,16))</f>
        <v>Karpet Dasar</v>
      </c>
      <c r="C197" s="7"/>
      <c r="D197" s="7"/>
    </row>
    <row r="198" customFormat="false" ht="15" hidden="false" customHeight="false" outlineLevel="0" collapsed="false">
      <c r="A198" s="6" t="str">
        <f aca="false">IF('DATA UNIT'!$B11="","",'DATA UNIT'!$B11)</f>
        <v>KT 8926 ZK</v>
      </c>
      <c r="B198" s="6" t="str">
        <f aca="false">IF($A198="","",INDEX(PlanningItemsList,17))</f>
        <v>Flushing Radiator</v>
      </c>
      <c r="C198" s="7"/>
      <c r="D198" s="7"/>
    </row>
    <row r="199" customFormat="false" ht="15" hidden="false" customHeight="false" outlineLevel="0" collapsed="false">
      <c r="A199" s="6" t="str">
        <f aca="false">IF('DATA UNIT'!$B11="","",'DATA UNIT'!$B11)</f>
        <v>KT 8926 ZK</v>
      </c>
      <c r="B199" s="6" t="str">
        <f aca="false">IF($A199="","",INDEX(PlanningItemsList,18))</f>
        <v>Flushing Steering</v>
      </c>
      <c r="C199" s="7"/>
      <c r="D199" s="7"/>
    </row>
    <row r="200" customFormat="false" ht="15" hidden="false" customHeight="false" outlineLevel="0" collapsed="false">
      <c r="A200" s="6" t="str">
        <f aca="false">IF('DATA UNIT'!$B11="","",'DATA UNIT'!$B11)</f>
        <v>KT 8926 ZK</v>
      </c>
      <c r="B200" s="6" t="str">
        <f aca="false">IF($A200="","",INDEX(PlanningItemsList,19))</f>
        <v>Flushing Injector</v>
      </c>
      <c r="C200" s="7"/>
      <c r="D200" s="7"/>
    </row>
    <row r="201" customFormat="false" ht="15" hidden="false" customHeight="false" outlineLevel="0" collapsed="false">
      <c r="A201" s="6" t="str">
        <f aca="false">IF('DATA UNIT'!$B11="","",'DATA UNIT'!$B11)</f>
        <v>KT 8926 ZK</v>
      </c>
      <c r="B201" s="6" t="str">
        <f aca="false">IF($A201="","",INDEX(PlanningItemsList,20))</f>
        <v>Flushing Rem</v>
      </c>
      <c r="C201" s="7"/>
      <c r="D201" s="7"/>
    </row>
    <row r="202" customFormat="false" ht="15" hidden="false" customHeight="false" outlineLevel="0" collapsed="false">
      <c r="A202" s="6" t="str">
        <f aca="false">IF('DATA UNIT'!$B12="","",'DATA UNIT'!$B12)</f>
        <v>KT 7233 K</v>
      </c>
      <c r="B202" s="6" t="str">
        <f aca="false">IF($A202="","",INDEX(PlanningItemsList,1))</f>
        <v>PM Check / Reguler Services</v>
      </c>
      <c r="C202" s="7"/>
      <c r="D202" s="7"/>
    </row>
    <row r="203" customFormat="false" ht="15" hidden="false" customHeight="false" outlineLevel="0" collapsed="false">
      <c r="A203" s="6" t="str">
        <f aca="false">IF('DATA UNIT'!$B12="","",'DATA UNIT'!$B12)</f>
        <v>KT 7233 K</v>
      </c>
      <c r="B203" s="6" t="str">
        <f aca="false">IF($A203="","",INDEX(PlanningItemsList,2))</f>
        <v>Service A</v>
      </c>
      <c r="C203" s="7"/>
      <c r="D203" s="7"/>
    </row>
    <row r="204" customFormat="false" ht="15" hidden="false" customHeight="false" outlineLevel="0" collapsed="false">
      <c r="A204" s="6" t="str">
        <f aca="false">IF('DATA UNIT'!$B12="","",'DATA UNIT'!$B12)</f>
        <v>KT 7233 K</v>
      </c>
      <c r="B204" s="6" t="str">
        <f aca="false">IF($A204="","",INDEX(PlanningItemsList,3))</f>
        <v>Service B</v>
      </c>
      <c r="C204" s="7"/>
      <c r="D204" s="7"/>
    </row>
    <row r="205" customFormat="false" ht="15" hidden="false" customHeight="false" outlineLevel="0" collapsed="false">
      <c r="A205" s="6" t="str">
        <f aca="false">IF('DATA UNIT'!$B12="","",'DATA UNIT'!$B12)</f>
        <v>KT 7233 K</v>
      </c>
      <c r="B205" s="6" t="str">
        <f aca="false">IF($A205="","",INDEX(PlanningItemsList,4))</f>
        <v>Brake Pad</v>
      </c>
      <c r="C205" s="7"/>
      <c r="D205" s="7"/>
    </row>
    <row r="206" customFormat="false" ht="15" hidden="false" customHeight="false" outlineLevel="0" collapsed="false">
      <c r="A206" s="6" t="str">
        <f aca="false">IF('DATA UNIT'!$B12="","",'DATA UNIT'!$B12)</f>
        <v>KT 7233 K</v>
      </c>
      <c r="B206" s="6" t="str">
        <f aca="false">IF($A206="","",INDEX(PlanningItemsList,5))</f>
        <v>Brake Shoe</v>
      </c>
      <c r="C206" s="7"/>
      <c r="D206" s="7"/>
    </row>
    <row r="207" customFormat="false" ht="15" hidden="false" customHeight="false" outlineLevel="0" collapsed="false">
      <c r="A207" s="6" t="str">
        <f aca="false">IF('DATA UNIT'!$B12="","",'DATA UNIT'!$B12)</f>
        <v>KT 7233 K</v>
      </c>
      <c r="B207" s="6" t="str">
        <f aca="false">IF($A207="","",INDEX(PlanningItemsList,6))</f>
        <v>Accu</v>
      </c>
      <c r="C207" s="7"/>
      <c r="D207" s="7"/>
    </row>
    <row r="208" customFormat="false" ht="15" hidden="false" customHeight="false" outlineLevel="0" collapsed="false">
      <c r="A208" s="6" t="str">
        <f aca="false">IF('DATA UNIT'!$B12="","",'DATA UNIT'!$B12)</f>
        <v>KT 7233 K</v>
      </c>
      <c r="B208" s="6" t="str">
        <f aca="false">IF($A208="","",INDEX(PlanningItemsList,7))</f>
        <v>Kampas Kopling Set</v>
      </c>
      <c r="C208" s="7"/>
      <c r="D208" s="7"/>
    </row>
    <row r="209" customFormat="false" ht="15" hidden="false" customHeight="false" outlineLevel="0" collapsed="false">
      <c r="A209" s="6" t="str">
        <f aca="false">IF('DATA UNIT'!$B12="","",'DATA UNIT'!$B12)</f>
        <v>KT 7233 K</v>
      </c>
      <c r="B209" s="6" t="str">
        <f aca="false">IF($A209="","",INDEX(PlanningItemsList,8))</f>
        <v>Wiper Blade</v>
      </c>
      <c r="C209" s="7"/>
      <c r="D209" s="7"/>
    </row>
    <row r="210" customFormat="false" ht="15" hidden="false" customHeight="false" outlineLevel="0" collapsed="false">
      <c r="A210" s="6" t="str">
        <f aca="false">IF('DATA UNIT'!$B12="","",'DATA UNIT'!$B12)</f>
        <v>KT 7233 K</v>
      </c>
      <c r="B210" s="6" t="str">
        <f aca="false">IF($A210="","",INDEX(PlanningItemsList,9))</f>
        <v>Ban Depan</v>
      </c>
      <c r="C210" s="7"/>
      <c r="D210" s="7"/>
    </row>
    <row r="211" customFormat="false" ht="15" hidden="false" customHeight="false" outlineLevel="0" collapsed="false">
      <c r="A211" s="6" t="str">
        <f aca="false">IF('DATA UNIT'!$B12="","",'DATA UNIT'!$B12)</f>
        <v>KT 7233 K</v>
      </c>
      <c r="B211" s="6" t="str">
        <f aca="false">IF($A211="","",INDEX(PlanningItemsList,10))</f>
        <v>Ban Belakang</v>
      </c>
      <c r="C211" s="7"/>
      <c r="D211" s="7"/>
    </row>
    <row r="212" customFormat="false" ht="15" hidden="false" customHeight="false" outlineLevel="0" collapsed="false">
      <c r="A212" s="6" t="str">
        <f aca="false">IF('DATA UNIT'!$B12="","",'DATA UNIT'!$B12)</f>
        <v>KT 7233 K</v>
      </c>
      <c r="B212" s="6" t="str">
        <f aca="false">IF($A212="","",INDEX(PlanningItemsList,11))</f>
        <v>Ban Serep</v>
      </c>
      <c r="C212" s="7"/>
      <c r="D212" s="7"/>
    </row>
    <row r="213" customFormat="false" ht="15" hidden="false" customHeight="false" outlineLevel="0" collapsed="false">
      <c r="A213" s="6" t="str">
        <f aca="false">IF('DATA UNIT'!$B12="","",'DATA UNIT'!$B12)</f>
        <v>KT 7233 K</v>
      </c>
      <c r="B213" s="6" t="str">
        <f aca="false">IF($A213="","",INDEX(PlanningItemsList,12))</f>
        <v>Greasing</v>
      </c>
      <c r="C213" s="7"/>
      <c r="D213" s="7"/>
    </row>
    <row r="214" customFormat="false" ht="15" hidden="false" customHeight="false" outlineLevel="0" collapsed="false">
      <c r="A214" s="6" t="str">
        <f aca="false">IF('DATA UNIT'!$B12="","",'DATA UNIT'!$B12)</f>
        <v>KT 7233 K</v>
      </c>
      <c r="B214" s="6" t="str">
        <f aca="false">IF($A214="","",INDEX(PlanningItemsList,13))</f>
        <v>V-Belt</v>
      </c>
      <c r="C214" s="7"/>
      <c r="D214" s="7"/>
    </row>
    <row r="215" customFormat="false" ht="15" hidden="false" customHeight="false" outlineLevel="0" collapsed="false">
      <c r="A215" s="6" t="str">
        <f aca="false">IF('DATA UNIT'!$B12="","",'DATA UNIT'!$B12)</f>
        <v>KT 7233 K</v>
      </c>
      <c r="B215" s="6" t="str">
        <f aca="false">IF($A215="","",INDEX(PlanningItemsList,14))</f>
        <v>Sarung Jok</v>
      </c>
      <c r="C215" s="7"/>
      <c r="D215" s="7"/>
    </row>
    <row r="216" customFormat="false" ht="15" hidden="false" customHeight="false" outlineLevel="0" collapsed="false">
      <c r="A216" s="6" t="str">
        <f aca="false">IF('DATA UNIT'!$B12="","",'DATA UNIT'!$B12)</f>
        <v>KT 7233 K</v>
      </c>
      <c r="B216" s="6" t="str">
        <f aca="false">IF($A216="","",INDEX(PlanningItemsList,15))</f>
        <v>Karpet Karet</v>
      </c>
      <c r="C216" s="7"/>
      <c r="D216" s="7"/>
    </row>
    <row r="217" customFormat="false" ht="15" hidden="false" customHeight="false" outlineLevel="0" collapsed="false">
      <c r="A217" s="6" t="str">
        <f aca="false">IF('DATA UNIT'!$B12="","",'DATA UNIT'!$B12)</f>
        <v>KT 7233 K</v>
      </c>
      <c r="B217" s="6" t="str">
        <f aca="false">IF($A217="","",INDEX(PlanningItemsList,16))</f>
        <v>Karpet Dasar</v>
      </c>
      <c r="C217" s="7"/>
      <c r="D217" s="7"/>
    </row>
    <row r="218" customFormat="false" ht="15" hidden="false" customHeight="false" outlineLevel="0" collapsed="false">
      <c r="A218" s="6" t="str">
        <f aca="false">IF('DATA UNIT'!$B12="","",'DATA UNIT'!$B12)</f>
        <v>KT 7233 K</v>
      </c>
      <c r="B218" s="6" t="str">
        <f aca="false">IF($A218="","",INDEX(PlanningItemsList,17))</f>
        <v>Flushing Radiator</v>
      </c>
      <c r="C218" s="7"/>
      <c r="D218" s="7"/>
    </row>
    <row r="219" customFormat="false" ht="15" hidden="false" customHeight="false" outlineLevel="0" collapsed="false">
      <c r="A219" s="6" t="str">
        <f aca="false">IF('DATA UNIT'!$B12="","",'DATA UNIT'!$B12)</f>
        <v>KT 7233 K</v>
      </c>
      <c r="B219" s="6" t="str">
        <f aca="false">IF($A219="","",INDEX(PlanningItemsList,18))</f>
        <v>Flushing Steering</v>
      </c>
      <c r="C219" s="7"/>
      <c r="D219" s="7"/>
    </row>
    <row r="220" customFormat="false" ht="15" hidden="false" customHeight="false" outlineLevel="0" collapsed="false">
      <c r="A220" s="6" t="str">
        <f aca="false">IF('DATA UNIT'!$B12="","",'DATA UNIT'!$B12)</f>
        <v>KT 7233 K</v>
      </c>
      <c r="B220" s="6" t="str">
        <f aca="false">IF($A220="","",INDEX(PlanningItemsList,19))</f>
        <v>Flushing Injector</v>
      </c>
      <c r="C220" s="7"/>
      <c r="D220" s="7"/>
    </row>
    <row r="221" customFormat="false" ht="15" hidden="false" customHeight="false" outlineLevel="0" collapsed="false">
      <c r="A221" s="6" t="str">
        <f aca="false">IF('DATA UNIT'!$B12="","",'DATA UNIT'!$B12)</f>
        <v>KT 7233 K</v>
      </c>
      <c r="B221" s="6" t="str">
        <f aca="false">IF($A221="","",INDEX(PlanningItemsList,20))</f>
        <v>Flushing Rem</v>
      </c>
      <c r="C221" s="7"/>
      <c r="D221" s="7"/>
    </row>
    <row r="222" customFormat="false" ht="15" hidden="false" customHeight="false" outlineLevel="0" collapsed="false">
      <c r="A222" s="6" t="str">
        <f aca="false">IF('DATA UNIT'!$B13="","",'DATA UNIT'!$B13)</f>
        <v>KT 7236 K</v>
      </c>
      <c r="B222" s="6" t="str">
        <f aca="false">IF($A222="","",INDEX(PlanningItemsList,1))</f>
        <v>PM Check / Reguler Services</v>
      </c>
      <c r="C222" s="7"/>
      <c r="D222" s="7"/>
    </row>
    <row r="223" customFormat="false" ht="15" hidden="false" customHeight="false" outlineLevel="0" collapsed="false">
      <c r="A223" s="6" t="str">
        <f aca="false">IF('DATA UNIT'!$B13="","",'DATA UNIT'!$B13)</f>
        <v>KT 7236 K</v>
      </c>
      <c r="B223" s="6" t="str">
        <f aca="false">IF($A223="","",INDEX(PlanningItemsList,2))</f>
        <v>Service A</v>
      </c>
      <c r="C223" s="7"/>
      <c r="D223" s="7"/>
    </row>
    <row r="224" customFormat="false" ht="15" hidden="false" customHeight="false" outlineLevel="0" collapsed="false">
      <c r="A224" s="6" t="str">
        <f aca="false">IF('DATA UNIT'!$B13="","",'DATA UNIT'!$B13)</f>
        <v>KT 7236 K</v>
      </c>
      <c r="B224" s="6" t="str">
        <f aca="false">IF($A224="","",INDEX(PlanningItemsList,3))</f>
        <v>Service B</v>
      </c>
      <c r="C224" s="7"/>
      <c r="D224" s="7"/>
    </row>
    <row r="225" customFormat="false" ht="15" hidden="false" customHeight="false" outlineLevel="0" collapsed="false">
      <c r="A225" s="6" t="str">
        <f aca="false">IF('DATA UNIT'!$B13="","",'DATA UNIT'!$B13)</f>
        <v>KT 7236 K</v>
      </c>
      <c r="B225" s="6" t="str">
        <f aca="false">IF($A225="","",INDEX(PlanningItemsList,4))</f>
        <v>Brake Pad</v>
      </c>
      <c r="C225" s="7"/>
      <c r="D225" s="7"/>
    </row>
    <row r="226" customFormat="false" ht="15" hidden="false" customHeight="false" outlineLevel="0" collapsed="false">
      <c r="A226" s="6" t="str">
        <f aca="false">IF('DATA UNIT'!$B13="","",'DATA UNIT'!$B13)</f>
        <v>KT 7236 K</v>
      </c>
      <c r="B226" s="6" t="str">
        <f aca="false">IF($A226="","",INDEX(PlanningItemsList,5))</f>
        <v>Brake Shoe</v>
      </c>
      <c r="C226" s="7"/>
      <c r="D226" s="7"/>
    </row>
    <row r="227" customFormat="false" ht="15" hidden="false" customHeight="false" outlineLevel="0" collapsed="false">
      <c r="A227" s="6" t="str">
        <f aca="false">IF('DATA UNIT'!$B13="","",'DATA UNIT'!$B13)</f>
        <v>KT 7236 K</v>
      </c>
      <c r="B227" s="6" t="str">
        <f aca="false">IF($A227="","",INDEX(PlanningItemsList,6))</f>
        <v>Accu</v>
      </c>
      <c r="C227" s="7"/>
      <c r="D227" s="7"/>
    </row>
    <row r="228" customFormat="false" ht="15" hidden="false" customHeight="false" outlineLevel="0" collapsed="false">
      <c r="A228" s="6" t="str">
        <f aca="false">IF('DATA UNIT'!$B13="","",'DATA UNIT'!$B13)</f>
        <v>KT 7236 K</v>
      </c>
      <c r="B228" s="6" t="str">
        <f aca="false">IF($A228="","",INDEX(PlanningItemsList,7))</f>
        <v>Kampas Kopling Set</v>
      </c>
      <c r="C228" s="7"/>
      <c r="D228" s="7"/>
    </row>
    <row r="229" customFormat="false" ht="15" hidden="false" customHeight="false" outlineLevel="0" collapsed="false">
      <c r="A229" s="6" t="str">
        <f aca="false">IF('DATA UNIT'!$B13="","",'DATA UNIT'!$B13)</f>
        <v>KT 7236 K</v>
      </c>
      <c r="B229" s="6" t="str">
        <f aca="false">IF($A229="","",INDEX(PlanningItemsList,8))</f>
        <v>Wiper Blade</v>
      </c>
      <c r="C229" s="7"/>
      <c r="D229" s="7"/>
    </row>
    <row r="230" customFormat="false" ht="15" hidden="false" customHeight="false" outlineLevel="0" collapsed="false">
      <c r="A230" s="6" t="str">
        <f aca="false">IF('DATA UNIT'!$B13="","",'DATA UNIT'!$B13)</f>
        <v>KT 7236 K</v>
      </c>
      <c r="B230" s="6" t="str">
        <f aca="false">IF($A230="","",INDEX(PlanningItemsList,9))</f>
        <v>Ban Depan</v>
      </c>
      <c r="C230" s="7"/>
      <c r="D230" s="7"/>
    </row>
    <row r="231" customFormat="false" ht="15" hidden="false" customHeight="false" outlineLevel="0" collapsed="false">
      <c r="A231" s="6" t="str">
        <f aca="false">IF('DATA UNIT'!$B13="","",'DATA UNIT'!$B13)</f>
        <v>KT 7236 K</v>
      </c>
      <c r="B231" s="6" t="str">
        <f aca="false">IF($A231="","",INDEX(PlanningItemsList,10))</f>
        <v>Ban Belakang</v>
      </c>
      <c r="C231" s="7"/>
      <c r="D231" s="7"/>
    </row>
    <row r="232" customFormat="false" ht="15" hidden="false" customHeight="false" outlineLevel="0" collapsed="false">
      <c r="A232" s="6" t="str">
        <f aca="false">IF('DATA UNIT'!$B13="","",'DATA UNIT'!$B13)</f>
        <v>KT 7236 K</v>
      </c>
      <c r="B232" s="6" t="str">
        <f aca="false">IF($A232="","",INDEX(PlanningItemsList,11))</f>
        <v>Ban Serep</v>
      </c>
      <c r="C232" s="7"/>
      <c r="D232" s="7"/>
    </row>
    <row r="233" customFormat="false" ht="15" hidden="false" customHeight="false" outlineLevel="0" collapsed="false">
      <c r="A233" s="6" t="str">
        <f aca="false">IF('DATA UNIT'!$B13="","",'DATA UNIT'!$B13)</f>
        <v>KT 7236 K</v>
      </c>
      <c r="B233" s="6" t="str">
        <f aca="false">IF($A233="","",INDEX(PlanningItemsList,12))</f>
        <v>Greasing</v>
      </c>
      <c r="C233" s="7"/>
      <c r="D233" s="7"/>
    </row>
    <row r="234" customFormat="false" ht="15" hidden="false" customHeight="false" outlineLevel="0" collapsed="false">
      <c r="A234" s="6" t="str">
        <f aca="false">IF('DATA UNIT'!$B13="","",'DATA UNIT'!$B13)</f>
        <v>KT 7236 K</v>
      </c>
      <c r="B234" s="6" t="str">
        <f aca="false">IF($A234="","",INDEX(PlanningItemsList,13))</f>
        <v>V-Belt</v>
      </c>
      <c r="C234" s="7"/>
      <c r="D234" s="7"/>
    </row>
    <row r="235" customFormat="false" ht="15" hidden="false" customHeight="false" outlineLevel="0" collapsed="false">
      <c r="A235" s="6" t="str">
        <f aca="false">IF('DATA UNIT'!$B13="","",'DATA UNIT'!$B13)</f>
        <v>KT 7236 K</v>
      </c>
      <c r="B235" s="6" t="str">
        <f aca="false">IF($A235="","",INDEX(PlanningItemsList,14))</f>
        <v>Sarung Jok</v>
      </c>
      <c r="C235" s="7"/>
      <c r="D235" s="7"/>
    </row>
    <row r="236" customFormat="false" ht="15" hidden="false" customHeight="false" outlineLevel="0" collapsed="false">
      <c r="A236" s="6" t="str">
        <f aca="false">IF('DATA UNIT'!$B13="","",'DATA UNIT'!$B13)</f>
        <v>KT 7236 K</v>
      </c>
      <c r="B236" s="6" t="str">
        <f aca="false">IF($A236="","",INDEX(PlanningItemsList,15))</f>
        <v>Karpet Karet</v>
      </c>
      <c r="C236" s="7"/>
      <c r="D236" s="7"/>
    </row>
    <row r="237" customFormat="false" ht="15" hidden="false" customHeight="false" outlineLevel="0" collapsed="false">
      <c r="A237" s="6" t="str">
        <f aca="false">IF('DATA UNIT'!$B13="","",'DATA UNIT'!$B13)</f>
        <v>KT 7236 K</v>
      </c>
      <c r="B237" s="6" t="str">
        <f aca="false">IF($A237="","",INDEX(PlanningItemsList,16))</f>
        <v>Karpet Dasar</v>
      </c>
      <c r="C237" s="7"/>
      <c r="D237" s="7"/>
    </row>
    <row r="238" customFormat="false" ht="15" hidden="false" customHeight="false" outlineLevel="0" collapsed="false">
      <c r="A238" s="6" t="str">
        <f aca="false">IF('DATA UNIT'!$B13="","",'DATA UNIT'!$B13)</f>
        <v>KT 7236 K</v>
      </c>
      <c r="B238" s="6" t="str">
        <f aca="false">IF($A238="","",INDEX(PlanningItemsList,17))</f>
        <v>Flushing Radiator</v>
      </c>
      <c r="C238" s="7"/>
      <c r="D238" s="7"/>
    </row>
    <row r="239" customFormat="false" ht="15" hidden="false" customHeight="false" outlineLevel="0" collapsed="false">
      <c r="A239" s="6" t="str">
        <f aca="false">IF('DATA UNIT'!$B13="","",'DATA UNIT'!$B13)</f>
        <v>KT 7236 K</v>
      </c>
      <c r="B239" s="6" t="str">
        <f aca="false">IF($A239="","",INDEX(PlanningItemsList,18))</f>
        <v>Flushing Steering</v>
      </c>
      <c r="C239" s="7"/>
      <c r="D239" s="7"/>
    </row>
    <row r="240" customFormat="false" ht="15" hidden="false" customHeight="false" outlineLevel="0" collapsed="false">
      <c r="A240" s="6" t="str">
        <f aca="false">IF('DATA UNIT'!$B13="","",'DATA UNIT'!$B13)</f>
        <v>KT 7236 K</v>
      </c>
      <c r="B240" s="6" t="str">
        <f aca="false">IF($A240="","",INDEX(PlanningItemsList,19))</f>
        <v>Flushing Injector</v>
      </c>
      <c r="C240" s="7"/>
      <c r="D240" s="7"/>
    </row>
    <row r="241" customFormat="false" ht="15" hidden="false" customHeight="false" outlineLevel="0" collapsed="false">
      <c r="A241" s="6" t="str">
        <f aca="false">IF('DATA UNIT'!$B13="","",'DATA UNIT'!$B13)</f>
        <v>KT 7236 K</v>
      </c>
      <c r="B241" s="6" t="str">
        <f aca="false">IF($A241="","",INDEX(PlanningItemsList,20))</f>
        <v>Flushing Rem</v>
      </c>
      <c r="C241" s="7"/>
      <c r="D241" s="7"/>
    </row>
    <row r="242" customFormat="false" ht="15" hidden="false" customHeight="false" outlineLevel="0" collapsed="false">
      <c r="A242" s="6" t="str">
        <f aca="false">IF('DATA UNIT'!$B14="","",'DATA UNIT'!$B14)</f>
        <v>KT 8870 YP</v>
      </c>
      <c r="B242" s="6" t="str">
        <f aca="false">IF($A242="","",INDEX(PlanningItemsList,1))</f>
        <v>PM Check / Reguler Services</v>
      </c>
      <c r="C242" s="7"/>
      <c r="D242" s="7"/>
    </row>
    <row r="243" customFormat="false" ht="15" hidden="false" customHeight="false" outlineLevel="0" collapsed="false">
      <c r="A243" s="6" t="str">
        <f aca="false">IF('DATA UNIT'!$B14="","",'DATA UNIT'!$B14)</f>
        <v>KT 8870 YP</v>
      </c>
      <c r="B243" s="6" t="str">
        <f aca="false">IF($A243="","",INDEX(PlanningItemsList,2))</f>
        <v>Service A</v>
      </c>
      <c r="C243" s="7"/>
      <c r="D243" s="7"/>
    </row>
    <row r="244" customFormat="false" ht="15" hidden="false" customHeight="false" outlineLevel="0" collapsed="false">
      <c r="A244" s="6" t="str">
        <f aca="false">IF('DATA UNIT'!$B14="","",'DATA UNIT'!$B14)</f>
        <v>KT 8870 YP</v>
      </c>
      <c r="B244" s="6" t="str">
        <f aca="false">IF($A244="","",INDEX(PlanningItemsList,3))</f>
        <v>Service B</v>
      </c>
      <c r="C244" s="7"/>
      <c r="D244" s="7"/>
    </row>
    <row r="245" customFormat="false" ht="15" hidden="false" customHeight="false" outlineLevel="0" collapsed="false">
      <c r="A245" s="6" t="str">
        <f aca="false">IF('DATA UNIT'!$B14="","",'DATA UNIT'!$B14)</f>
        <v>KT 8870 YP</v>
      </c>
      <c r="B245" s="6" t="str">
        <f aca="false">IF($A245="","",INDEX(PlanningItemsList,4))</f>
        <v>Brake Pad</v>
      </c>
      <c r="C245" s="7"/>
      <c r="D245" s="7"/>
    </row>
    <row r="246" customFormat="false" ht="15" hidden="false" customHeight="false" outlineLevel="0" collapsed="false">
      <c r="A246" s="6" t="str">
        <f aca="false">IF('DATA UNIT'!$B14="","",'DATA UNIT'!$B14)</f>
        <v>KT 8870 YP</v>
      </c>
      <c r="B246" s="6" t="str">
        <f aca="false">IF($A246="","",INDEX(PlanningItemsList,5))</f>
        <v>Brake Shoe</v>
      </c>
      <c r="C246" s="7"/>
      <c r="D246" s="7"/>
    </row>
    <row r="247" customFormat="false" ht="15" hidden="false" customHeight="false" outlineLevel="0" collapsed="false">
      <c r="A247" s="6" t="str">
        <f aca="false">IF('DATA UNIT'!$B14="","",'DATA UNIT'!$B14)</f>
        <v>KT 8870 YP</v>
      </c>
      <c r="B247" s="6" t="str">
        <f aca="false">IF($A247="","",INDEX(PlanningItemsList,6))</f>
        <v>Accu</v>
      </c>
      <c r="C247" s="7"/>
      <c r="D247" s="7"/>
    </row>
    <row r="248" customFormat="false" ht="15" hidden="false" customHeight="false" outlineLevel="0" collapsed="false">
      <c r="A248" s="6" t="str">
        <f aca="false">IF('DATA UNIT'!$B14="","",'DATA UNIT'!$B14)</f>
        <v>KT 8870 YP</v>
      </c>
      <c r="B248" s="6" t="str">
        <f aca="false">IF($A248="","",INDEX(PlanningItemsList,7))</f>
        <v>Kampas Kopling Set</v>
      </c>
      <c r="C248" s="7"/>
      <c r="D248" s="7"/>
    </row>
    <row r="249" customFormat="false" ht="15" hidden="false" customHeight="false" outlineLevel="0" collapsed="false">
      <c r="A249" s="6" t="str">
        <f aca="false">IF('DATA UNIT'!$B14="","",'DATA UNIT'!$B14)</f>
        <v>KT 8870 YP</v>
      </c>
      <c r="B249" s="6" t="str">
        <f aca="false">IF($A249="","",INDEX(PlanningItemsList,8))</f>
        <v>Wiper Blade</v>
      </c>
      <c r="C249" s="7"/>
      <c r="D249" s="7"/>
    </row>
    <row r="250" customFormat="false" ht="15" hidden="false" customHeight="false" outlineLevel="0" collapsed="false">
      <c r="A250" s="6" t="str">
        <f aca="false">IF('DATA UNIT'!$B14="","",'DATA UNIT'!$B14)</f>
        <v>KT 8870 YP</v>
      </c>
      <c r="B250" s="6" t="str">
        <f aca="false">IF($A250="","",INDEX(PlanningItemsList,9))</f>
        <v>Ban Depan</v>
      </c>
      <c r="C250" s="7"/>
      <c r="D250" s="7"/>
    </row>
    <row r="251" customFormat="false" ht="15" hidden="false" customHeight="false" outlineLevel="0" collapsed="false">
      <c r="A251" s="6" t="str">
        <f aca="false">IF('DATA UNIT'!$B14="","",'DATA UNIT'!$B14)</f>
        <v>KT 8870 YP</v>
      </c>
      <c r="B251" s="6" t="str">
        <f aca="false">IF($A251="","",INDEX(PlanningItemsList,10))</f>
        <v>Ban Belakang</v>
      </c>
      <c r="C251" s="7"/>
      <c r="D251" s="7"/>
    </row>
    <row r="252" customFormat="false" ht="15" hidden="false" customHeight="false" outlineLevel="0" collapsed="false">
      <c r="A252" s="6" t="str">
        <f aca="false">IF('DATA UNIT'!$B14="","",'DATA UNIT'!$B14)</f>
        <v>KT 8870 YP</v>
      </c>
      <c r="B252" s="6" t="str">
        <f aca="false">IF($A252="","",INDEX(PlanningItemsList,11))</f>
        <v>Ban Serep</v>
      </c>
      <c r="C252" s="7"/>
      <c r="D252" s="7"/>
    </row>
    <row r="253" customFormat="false" ht="15" hidden="false" customHeight="false" outlineLevel="0" collapsed="false">
      <c r="A253" s="6" t="str">
        <f aca="false">IF('DATA UNIT'!$B14="","",'DATA UNIT'!$B14)</f>
        <v>KT 8870 YP</v>
      </c>
      <c r="B253" s="6" t="str">
        <f aca="false">IF($A253="","",INDEX(PlanningItemsList,12))</f>
        <v>Greasing</v>
      </c>
      <c r="C253" s="7"/>
      <c r="D253" s="7"/>
    </row>
    <row r="254" customFormat="false" ht="15" hidden="false" customHeight="false" outlineLevel="0" collapsed="false">
      <c r="A254" s="6" t="str">
        <f aca="false">IF('DATA UNIT'!$B14="","",'DATA UNIT'!$B14)</f>
        <v>KT 8870 YP</v>
      </c>
      <c r="B254" s="6" t="str">
        <f aca="false">IF($A254="","",INDEX(PlanningItemsList,13))</f>
        <v>V-Belt</v>
      </c>
      <c r="C254" s="7"/>
      <c r="D254" s="7"/>
    </row>
    <row r="255" customFormat="false" ht="15" hidden="false" customHeight="false" outlineLevel="0" collapsed="false">
      <c r="A255" s="6" t="str">
        <f aca="false">IF('DATA UNIT'!$B14="","",'DATA UNIT'!$B14)</f>
        <v>KT 8870 YP</v>
      </c>
      <c r="B255" s="6" t="str">
        <f aca="false">IF($A255="","",INDEX(PlanningItemsList,14))</f>
        <v>Sarung Jok</v>
      </c>
      <c r="C255" s="7"/>
      <c r="D255" s="7"/>
    </row>
    <row r="256" customFormat="false" ht="15" hidden="false" customHeight="false" outlineLevel="0" collapsed="false">
      <c r="A256" s="6" t="str">
        <f aca="false">IF('DATA UNIT'!$B14="","",'DATA UNIT'!$B14)</f>
        <v>KT 8870 YP</v>
      </c>
      <c r="B256" s="6" t="str">
        <f aca="false">IF($A256="","",INDEX(PlanningItemsList,15))</f>
        <v>Karpet Karet</v>
      </c>
      <c r="C256" s="7"/>
      <c r="D256" s="7"/>
    </row>
    <row r="257" customFormat="false" ht="15" hidden="false" customHeight="false" outlineLevel="0" collapsed="false">
      <c r="A257" s="6" t="str">
        <f aca="false">IF('DATA UNIT'!$B14="","",'DATA UNIT'!$B14)</f>
        <v>KT 8870 YP</v>
      </c>
      <c r="B257" s="6" t="str">
        <f aca="false">IF($A257="","",INDEX(PlanningItemsList,16))</f>
        <v>Karpet Dasar</v>
      </c>
      <c r="C257" s="7"/>
      <c r="D257" s="7"/>
    </row>
    <row r="258" customFormat="false" ht="15" hidden="false" customHeight="false" outlineLevel="0" collapsed="false">
      <c r="A258" s="6" t="str">
        <f aca="false">IF('DATA UNIT'!$B14="","",'DATA UNIT'!$B14)</f>
        <v>KT 8870 YP</v>
      </c>
      <c r="B258" s="6" t="str">
        <f aca="false">IF($A258="","",INDEX(PlanningItemsList,17))</f>
        <v>Flushing Radiator</v>
      </c>
      <c r="C258" s="7"/>
      <c r="D258" s="7"/>
    </row>
    <row r="259" customFormat="false" ht="15" hidden="false" customHeight="false" outlineLevel="0" collapsed="false">
      <c r="A259" s="6" t="str">
        <f aca="false">IF('DATA UNIT'!$B14="","",'DATA UNIT'!$B14)</f>
        <v>KT 8870 YP</v>
      </c>
      <c r="B259" s="6" t="str">
        <f aca="false">IF($A259="","",INDEX(PlanningItemsList,18))</f>
        <v>Flushing Steering</v>
      </c>
      <c r="C259" s="7"/>
      <c r="D259" s="7"/>
    </row>
    <row r="260" customFormat="false" ht="15" hidden="false" customHeight="false" outlineLevel="0" collapsed="false">
      <c r="A260" s="6" t="str">
        <f aca="false">IF('DATA UNIT'!$B14="","",'DATA UNIT'!$B14)</f>
        <v>KT 8870 YP</v>
      </c>
      <c r="B260" s="6" t="str">
        <f aca="false">IF($A260="","",INDEX(PlanningItemsList,19))</f>
        <v>Flushing Injector</v>
      </c>
      <c r="C260" s="7"/>
      <c r="D260" s="7"/>
    </row>
    <row r="261" customFormat="false" ht="15" hidden="false" customHeight="false" outlineLevel="0" collapsed="false">
      <c r="A261" s="6" t="str">
        <f aca="false">IF('DATA UNIT'!$B14="","",'DATA UNIT'!$B14)</f>
        <v>KT 8870 YP</v>
      </c>
      <c r="B261" s="6" t="str">
        <f aca="false">IF($A261="","",INDEX(PlanningItemsList,20))</f>
        <v>Flushing Rem</v>
      </c>
      <c r="C261" s="7"/>
      <c r="D261" s="7"/>
    </row>
    <row r="262" customFormat="false" ht="15" hidden="false" customHeight="false" outlineLevel="0" collapsed="false">
      <c r="A262" s="6" t="str">
        <f aca="false">IF('DATA UNIT'!$B15="","",'DATA UNIT'!$B15)</f>
        <v>KT 8714 YK</v>
      </c>
      <c r="B262" s="6" t="str">
        <f aca="false">IF($A262="","",INDEX(PlanningItemsList,1))</f>
        <v>PM Check / Reguler Services</v>
      </c>
      <c r="C262" s="7"/>
      <c r="D262" s="7"/>
    </row>
    <row r="263" customFormat="false" ht="15" hidden="false" customHeight="false" outlineLevel="0" collapsed="false">
      <c r="A263" s="6" t="str">
        <f aca="false">IF('DATA UNIT'!$B15="","",'DATA UNIT'!$B15)</f>
        <v>KT 8714 YK</v>
      </c>
      <c r="B263" s="6" t="str">
        <f aca="false">IF($A263="","",INDEX(PlanningItemsList,2))</f>
        <v>Service A</v>
      </c>
      <c r="C263" s="7"/>
      <c r="D263" s="7"/>
    </row>
    <row r="264" customFormat="false" ht="15" hidden="false" customHeight="false" outlineLevel="0" collapsed="false">
      <c r="A264" s="6" t="str">
        <f aca="false">IF('DATA UNIT'!$B15="","",'DATA UNIT'!$B15)</f>
        <v>KT 8714 YK</v>
      </c>
      <c r="B264" s="6" t="str">
        <f aca="false">IF($A264="","",INDEX(PlanningItemsList,3))</f>
        <v>Service B</v>
      </c>
      <c r="C264" s="7"/>
      <c r="D264" s="7"/>
    </row>
    <row r="265" customFormat="false" ht="15" hidden="false" customHeight="false" outlineLevel="0" collapsed="false">
      <c r="A265" s="6" t="str">
        <f aca="false">IF('DATA UNIT'!$B15="","",'DATA UNIT'!$B15)</f>
        <v>KT 8714 YK</v>
      </c>
      <c r="B265" s="6" t="str">
        <f aca="false">IF($A265="","",INDEX(PlanningItemsList,4))</f>
        <v>Brake Pad</v>
      </c>
      <c r="C265" s="7"/>
      <c r="D265" s="7"/>
    </row>
    <row r="266" customFormat="false" ht="15" hidden="false" customHeight="false" outlineLevel="0" collapsed="false">
      <c r="A266" s="6" t="str">
        <f aca="false">IF('DATA UNIT'!$B15="","",'DATA UNIT'!$B15)</f>
        <v>KT 8714 YK</v>
      </c>
      <c r="B266" s="6" t="str">
        <f aca="false">IF($A266="","",INDEX(PlanningItemsList,5))</f>
        <v>Brake Shoe</v>
      </c>
      <c r="C266" s="7"/>
      <c r="D266" s="7"/>
    </row>
    <row r="267" customFormat="false" ht="15" hidden="false" customHeight="false" outlineLevel="0" collapsed="false">
      <c r="A267" s="6" t="str">
        <f aca="false">IF('DATA UNIT'!$B15="","",'DATA UNIT'!$B15)</f>
        <v>KT 8714 YK</v>
      </c>
      <c r="B267" s="6" t="str">
        <f aca="false">IF($A267="","",INDEX(PlanningItemsList,6))</f>
        <v>Accu</v>
      </c>
      <c r="C267" s="7"/>
      <c r="D267" s="7"/>
    </row>
    <row r="268" customFormat="false" ht="15" hidden="false" customHeight="false" outlineLevel="0" collapsed="false">
      <c r="A268" s="6" t="str">
        <f aca="false">IF('DATA UNIT'!$B15="","",'DATA UNIT'!$B15)</f>
        <v>KT 8714 YK</v>
      </c>
      <c r="B268" s="6" t="str">
        <f aca="false">IF($A268="","",INDEX(PlanningItemsList,7))</f>
        <v>Kampas Kopling Set</v>
      </c>
      <c r="C268" s="7"/>
      <c r="D268" s="7"/>
    </row>
    <row r="269" customFormat="false" ht="15" hidden="false" customHeight="false" outlineLevel="0" collapsed="false">
      <c r="A269" s="6" t="str">
        <f aca="false">IF('DATA UNIT'!$B15="","",'DATA UNIT'!$B15)</f>
        <v>KT 8714 YK</v>
      </c>
      <c r="B269" s="6" t="str">
        <f aca="false">IF($A269="","",INDEX(PlanningItemsList,8))</f>
        <v>Wiper Blade</v>
      </c>
      <c r="C269" s="7"/>
      <c r="D269" s="7"/>
    </row>
    <row r="270" customFormat="false" ht="15" hidden="false" customHeight="false" outlineLevel="0" collapsed="false">
      <c r="A270" s="6" t="str">
        <f aca="false">IF('DATA UNIT'!$B15="","",'DATA UNIT'!$B15)</f>
        <v>KT 8714 YK</v>
      </c>
      <c r="B270" s="6" t="str">
        <f aca="false">IF($A270="","",INDEX(PlanningItemsList,9))</f>
        <v>Ban Depan</v>
      </c>
      <c r="C270" s="7"/>
      <c r="D270" s="7"/>
    </row>
    <row r="271" customFormat="false" ht="15" hidden="false" customHeight="false" outlineLevel="0" collapsed="false">
      <c r="A271" s="6" t="str">
        <f aca="false">IF('DATA UNIT'!$B15="","",'DATA UNIT'!$B15)</f>
        <v>KT 8714 YK</v>
      </c>
      <c r="B271" s="6" t="str">
        <f aca="false">IF($A271="","",INDEX(PlanningItemsList,10))</f>
        <v>Ban Belakang</v>
      </c>
      <c r="C271" s="7"/>
      <c r="D271" s="7"/>
    </row>
    <row r="272" customFormat="false" ht="15" hidden="false" customHeight="false" outlineLevel="0" collapsed="false">
      <c r="A272" s="6" t="str">
        <f aca="false">IF('DATA UNIT'!$B15="","",'DATA UNIT'!$B15)</f>
        <v>KT 8714 YK</v>
      </c>
      <c r="B272" s="6" t="str">
        <f aca="false">IF($A272="","",INDEX(PlanningItemsList,11))</f>
        <v>Ban Serep</v>
      </c>
      <c r="C272" s="7"/>
      <c r="D272" s="7"/>
    </row>
    <row r="273" customFormat="false" ht="15" hidden="false" customHeight="false" outlineLevel="0" collapsed="false">
      <c r="A273" s="6" t="str">
        <f aca="false">IF('DATA UNIT'!$B15="","",'DATA UNIT'!$B15)</f>
        <v>KT 8714 YK</v>
      </c>
      <c r="B273" s="6" t="str">
        <f aca="false">IF($A273="","",INDEX(PlanningItemsList,12))</f>
        <v>Greasing</v>
      </c>
      <c r="C273" s="7"/>
      <c r="D273" s="7"/>
    </row>
    <row r="274" customFormat="false" ht="15" hidden="false" customHeight="false" outlineLevel="0" collapsed="false">
      <c r="A274" s="6" t="str">
        <f aca="false">IF('DATA UNIT'!$B15="","",'DATA UNIT'!$B15)</f>
        <v>KT 8714 YK</v>
      </c>
      <c r="B274" s="6" t="str">
        <f aca="false">IF($A274="","",INDEX(PlanningItemsList,13))</f>
        <v>V-Belt</v>
      </c>
      <c r="C274" s="7"/>
      <c r="D274" s="7"/>
    </row>
    <row r="275" customFormat="false" ht="15" hidden="false" customHeight="false" outlineLevel="0" collapsed="false">
      <c r="A275" s="6" t="str">
        <f aca="false">IF('DATA UNIT'!$B15="","",'DATA UNIT'!$B15)</f>
        <v>KT 8714 YK</v>
      </c>
      <c r="B275" s="6" t="str">
        <f aca="false">IF($A275="","",INDEX(PlanningItemsList,14))</f>
        <v>Sarung Jok</v>
      </c>
      <c r="C275" s="7"/>
      <c r="D275" s="7"/>
    </row>
    <row r="276" customFormat="false" ht="15" hidden="false" customHeight="false" outlineLevel="0" collapsed="false">
      <c r="A276" s="6" t="str">
        <f aca="false">IF('DATA UNIT'!$B15="","",'DATA UNIT'!$B15)</f>
        <v>KT 8714 YK</v>
      </c>
      <c r="B276" s="6" t="str">
        <f aca="false">IF($A276="","",INDEX(PlanningItemsList,15))</f>
        <v>Karpet Karet</v>
      </c>
      <c r="C276" s="7"/>
      <c r="D276" s="7"/>
    </row>
    <row r="277" customFormat="false" ht="15" hidden="false" customHeight="false" outlineLevel="0" collapsed="false">
      <c r="A277" s="6" t="str">
        <f aca="false">IF('DATA UNIT'!$B15="","",'DATA UNIT'!$B15)</f>
        <v>KT 8714 YK</v>
      </c>
      <c r="B277" s="6" t="str">
        <f aca="false">IF($A277="","",INDEX(PlanningItemsList,16))</f>
        <v>Karpet Dasar</v>
      </c>
      <c r="C277" s="7"/>
      <c r="D277" s="7"/>
    </row>
    <row r="278" customFormat="false" ht="15" hidden="false" customHeight="false" outlineLevel="0" collapsed="false">
      <c r="A278" s="6" t="str">
        <f aca="false">IF('DATA UNIT'!$B15="","",'DATA UNIT'!$B15)</f>
        <v>KT 8714 YK</v>
      </c>
      <c r="B278" s="6" t="str">
        <f aca="false">IF($A278="","",INDEX(PlanningItemsList,17))</f>
        <v>Flushing Radiator</v>
      </c>
      <c r="C278" s="7"/>
      <c r="D278" s="7"/>
    </row>
    <row r="279" customFormat="false" ht="15" hidden="false" customHeight="false" outlineLevel="0" collapsed="false">
      <c r="A279" s="6" t="str">
        <f aca="false">IF('DATA UNIT'!$B15="","",'DATA UNIT'!$B15)</f>
        <v>KT 8714 YK</v>
      </c>
      <c r="B279" s="6" t="str">
        <f aca="false">IF($A279="","",INDEX(PlanningItemsList,18))</f>
        <v>Flushing Steering</v>
      </c>
      <c r="C279" s="7"/>
      <c r="D279" s="7"/>
    </row>
    <row r="280" customFormat="false" ht="15" hidden="false" customHeight="false" outlineLevel="0" collapsed="false">
      <c r="A280" s="6" t="str">
        <f aca="false">IF('DATA UNIT'!$B15="","",'DATA UNIT'!$B15)</f>
        <v>KT 8714 YK</v>
      </c>
      <c r="B280" s="6" t="str">
        <f aca="false">IF($A280="","",INDEX(PlanningItemsList,19))</f>
        <v>Flushing Injector</v>
      </c>
      <c r="C280" s="7"/>
      <c r="D280" s="7"/>
    </row>
    <row r="281" customFormat="false" ht="15" hidden="false" customHeight="false" outlineLevel="0" collapsed="false">
      <c r="A281" s="6" t="str">
        <f aca="false">IF('DATA UNIT'!$B15="","",'DATA UNIT'!$B15)</f>
        <v>KT 8714 YK</v>
      </c>
      <c r="B281" s="6" t="str">
        <f aca="false">IF($A281="","",INDEX(PlanningItemsList,20))</f>
        <v>Flushing Rem</v>
      </c>
      <c r="C281" s="7"/>
      <c r="D281" s="7"/>
    </row>
    <row r="282" customFormat="false" ht="15" hidden="false" customHeight="false" outlineLevel="0" collapsed="false">
      <c r="A282" s="6" t="str">
        <f aca="false">IF('DATA UNIT'!$B16="","",'DATA UNIT'!$B16)</f>
        <v>B 1493 EOG</v>
      </c>
      <c r="B282" s="6" t="str">
        <f aca="false">IF($A282="","",INDEX(PlanningItemsList,1))</f>
        <v>PM Check / Reguler Services</v>
      </c>
      <c r="C282" s="7"/>
      <c r="D282" s="7"/>
    </row>
    <row r="283" customFormat="false" ht="15" hidden="false" customHeight="false" outlineLevel="0" collapsed="false">
      <c r="A283" s="6" t="str">
        <f aca="false">IF('DATA UNIT'!$B16="","",'DATA UNIT'!$B16)</f>
        <v>B 1493 EOG</v>
      </c>
      <c r="B283" s="6" t="str">
        <f aca="false">IF($A283="","",INDEX(PlanningItemsList,2))</f>
        <v>Service A</v>
      </c>
      <c r="C283" s="7"/>
      <c r="D283" s="7"/>
    </row>
    <row r="284" customFormat="false" ht="15" hidden="false" customHeight="false" outlineLevel="0" collapsed="false">
      <c r="A284" s="6" t="str">
        <f aca="false">IF('DATA UNIT'!$B16="","",'DATA UNIT'!$B16)</f>
        <v>B 1493 EOG</v>
      </c>
      <c r="B284" s="6" t="str">
        <f aca="false">IF($A284="","",INDEX(PlanningItemsList,3))</f>
        <v>Service B</v>
      </c>
      <c r="C284" s="7"/>
      <c r="D284" s="7"/>
    </row>
    <row r="285" customFormat="false" ht="15" hidden="false" customHeight="false" outlineLevel="0" collapsed="false">
      <c r="A285" s="6" t="str">
        <f aca="false">IF('DATA UNIT'!$B16="","",'DATA UNIT'!$B16)</f>
        <v>B 1493 EOG</v>
      </c>
      <c r="B285" s="6" t="str">
        <f aca="false">IF($A285="","",INDEX(PlanningItemsList,4))</f>
        <v>Brake Pad</v>
      </c>
      <c r="C285" s="7"/>
      <c r="D285" s="7"/>
    </row>
    <row r="286" customFormat="false" ht="15" hidden="false" customHeight="false" outlineLevel="0" collapsed="false">
      <c r="A286" s="6" t="str">
        <f aca="false">IF('DATA UNIT'!$B16="","",'DATA UNIT'!$B16)</f>
        <v>B 1493 EOG</v>
      </c>
      <c r="B286" s="6" t="str">
        <f aca="false">IF($A286="","",INDEX(PlanningItemsList,5))</f>
        <v>Brake Shoe</v>
      </c>
      <c r="C286" s="7"/>
      <c r="D286" s="7"/>
    </row>
    <row r="287" customFormat="false" ht="15" hidden="false" customHeight="false" outlineLevel="0" collapsed="false">
      <c r="A287" s="6" t="str">
        <f aca="false">IF('DATA UNIT'!$B16="","",'DATA UNIT'!$B16)</f>
        <v>B 1493 EOG</v>
      </c>
      <c r="B287" s="6" t="str">
        <f aca="false">IF($A287="","",INDEX(PlanningItemsList,6))</f>
        <v>Accu</v>
      </c>
      <c r="C287" s="7"/>
      <c r="D287" s="7"/>
    </row>
    <row r="288" customFormat="false" ht="15" hidden="false" customHeight="false" outlineLevel="0" collapsed="false">
      <c r="A288" s="6" t="str">
        <f aca="false">IF('DATA UNIT'!$B16="","",'DATA UNIT'!$B16)</f>
        <v>B 1493 EOG</v>
      </c>
      <c r="B288" s="6" t="str">
        <f aca="false">IF($A288="","",INDEX(PlanningItemsList,7))</f>
        <v>Kampas Kopling Set</v>
      </c>
      <c r="C288" s="7"/>
      <c r="D288" s="7"/>
    </row>
    <row r="289" customFormat="false" ht="15" hidden="false" customHeight="false" outlineLevel="0" collapsed="false">
      <c r="A289" s="6" t="str">
        <f aca="false">IF('DATA UNIT'!$B16="","",'DATA UNIT'!$B16)</f>
        <v>B 1493 EOG</v>
      </c>
      <c r="B289" s="6" t="str">
        <f aca="false">IF($A289="","",INDEX(PlanningItemsList,8))</f>
        <v>Wiper Blade</v>
      </c>
      <c r="C289" s="7"/>
      <c r="D289" s="7"/>
    </row>
    <row r="290" customFormat="false" ht="15" hidden="false" customHeight="false" outlineLevel="0" collapsed="false">
      <c r="A290" s="6" t="str">
        <f aca="false">IF('DATA UNIT'!$B16="","",'DATA UNIT'!$B16)</f>
        <v>B 1493 EOG</v>
      </c>
      <c r="B290" s="6" t="str">
        <f aca="false">IF($A290="","",INDEX(PlanningItemsList,9))</f>
        <v>Ban Depan</v>
      </c>
      <c r="C290" s="7"/>
      <c r="D290" s="7"/>
    </row>
    <row r="291" customFormat="false" ht="15" hidden="false" customHeight="false" outlineLevel="0" collapsed="false">
      <c r="A291" s="6" t="str">
        <f aca="false">IF('DATA UNIT'!$B16="","",'DATA UNIT'!$B16)</f>
        <v>B 1493 EOG</v>
      </c>
      <c r="B291" s="6" t="str">
        <f aca="false">IF($A291="","",INDEX(PlanningItemsList,10))</f>
        <v>Ban Belakang</v>
      </c>
      <c r="C291" s="7"/>
      <c r="D291" s="7"/>
    </row>
    <row r="292" customFormat="false" ht="15" hidden="false" customHeight="false" outlineLevel="0" collapsed="false">
      <c r="A292" s="6" t="str">
        <f aca="false">IF('DATA UNIT'!$B16="","",'DATA UNIT'!$B16)</f>
        <v>B 1493 EOG</v>
      </c>
      <c r="B292" s="6" t="str">
        <f aca="false">IF($A292="","",INDEX(PlanningItemsList,11))</f>
        <v>Ban Serep</v>
      </c>
      <c r="C292" s="7"/>
      <c r="D292" s="7"/>
    </row>
    <row r="293" customFormat="false" ht="15" hidden="false" customHeight="false" outlineLevel="0" collapsed="false">
      <c r="A293" s="6" t="str">
        <f aca="false">IF('DATA UNIT'!$B16="","",'DATA UNIT'!$B16)</f>
        <v>B 1493 EOG</v>
      </c>
      <c r="B293" s="6" t="str">
        <f aca="false">IF($A293="","",INDEX(PlanningItemsList,12))</f>
        <v>Greasing</v>
      </c>
      <c r="C293" s="7"/>
      <c r="D293" s="7"/>
    </row>
    <row r="294" customFormat="false" ht="15" hidden="false" customHeight="false" outlineLevel="0" collapsed="false">
      <c r="A294" s="6" t="str">
        <f aca="false">IF('DATA UNIT'!$B16="","",'DATA UNIT'!$B16)</f>
        <v>B 1493 EOG</v>
      </c>
      <c r="B294" s="6" t="str">
        <f aca="false">IF($A294="","",INDEX(PlanningItemsList,13))</f>
        <v>V-Belt</v>
      </c>
      <c r="C294" s="7"/>
      <c r="D294" s="7"/>
    </row>
    <row r="295" customFormat="false" ht="15" hidden="false" customHeight="false" outlineLevel="0" collapsed="false">
      <c r="A295" s="6" t="str">
        <f aca="false">IF('DATA UNIT'!$B16="","",'DATA UNIT'!$B16)</f>
        <v>B 1493 EOG</v>
      </c>
      <c r="B295" s="6" t="str">
        <f aca="false">IF($A295="","",INDEX(PlanningItemsList,14))</f>
        <v>Sarung Jok</v>
      </c>
      <c r="C295" s="7"/>
      <c r="D295" s="7"/>
    </row>
    <row r="296" customFormat="false" ht="15" hidden="false" customHeight="false" outlineLevel="0" collapsed="false">
      <c r="A296" s="6" t="str">
        <f aca="false">IF('DATA UNIT'!$B16="","",'DATA UNIT'!$B16)</f>
        <v>B 1493 EOG</v>
      </c>
      <c r="B296" s="6" t="str">
        <f aca="false">IF($A296="","",INDEX(PlanningItemsList,15))</f>
        <v>Karpet Karet</v>
      </c>
      <c r="C296" s="7"/>
      <c r="D296" s="7"/>
    </row>
    <row r="297" customFormat="false" ht="15" hidden="false" customHeight="false" outlineLevel="0" collapsed="false">
      <c r="A297" s="6" t="str">
        <f aca="false">IF('DATA UNIT'!$B16="","",'DATA UNIT'!$B16)</f>
        <v>B 1493 EOG</v>
      </c>
      <c r="B297" s="6" t="str">
        <f aca="false">IF($A297="","",INDEX(PlanningItemsList,16))</f>
        <v>Karpet Dasar</v>
      </c>
      <c r="C297" s="7"/>
      <c r="D297" s="7"/>
    </row>
    <row r="298" customFormat="false" ht="15" hidden="false" customHeight="false" outlineLevel="0" collapsed="false">
      <c r="A298" s="6" t="str">
        <f aca="false">IF('DATA UNIT'!$B16="","",'DATA UNIT'!$B16)</f>
        <v>B 1493 EOG</v>
      </c>
      <c r="B298" s="6" t="str">
        <f aca="false">IF($A298="","",INDEX(PlanningItemsList,17))</f>
        <v>Flushing Radiator</v>
      </c>
      <c r="C298" s="7"/>
      <c r="D298" s="7"/>
    </row>
    <row r="299" customFormat="false" ht="15" hidden="false" customHeight="false" outlineLevel="0" collapsed="false">
      <c r="A299" s="6" t="str">
        <f aca="false">IF('DATA UNIT'!$B16="","",'DATA UNIT'!$B16)</f>
        <v>B 1493 EOG</v>
      </c>
      <c r="B299" s="6" t="str">
        <f aca="false">IF($A299="","",INDEX(PlanningItemsList,18))</f>
        <v>Flushing Steering</v>
      </c>
      <c r="C299" s="7"/>
      <c r="D299" s="7"/>
    </row>
    <row r="300" customFormat="false" ht="15" hidden="false" customHeight="false" outlineLevel="0" collapsed="false">
      <c r="A300" s="6" t="str">
        <f aca="false">IF('DATA UNIT'!$B16="","",'DATA UNIT'!$B16)</f>
        <v>B 1493 EOG</v>
      </c>
      <c r="B300" s="6" t="str">
        <f aca="false">IF($A300="","",INDEX(PlanningItemsList,19))</f>
        <v>Flushing Injector</v>
      </c>
      <c r="C300" s="7"/>
      <c r="D300" s="7"/>
    </row>
    <row r="301" customFormat="false" ht="15" hidden="false" customHeight="false" outlineLevel="0" collapsed="false">
      <c r="A301" s="6" t="str">
        <f aca="false">IF('DATA UNIT'!$B16="","",'DATA UNIT'!$B16)</f>
        <v>B 1493 EOG</v>
      </c>
      <c r="B301" s="6" t="str">
        <f aca="false">IF($A301="","",INDEX(PlanningItemsList,20))</f>
        <v>Flushing Rem</v>
      </c>
      <c r="C301" s="7"/>
      <c r="D301" s="7"/>
    </row>
    <row r="302" customFormat="false" ht="15" hidden="false" customHeight="false" outlineLevel="0" collapsed="false">
      <c r="A302" s="6" t="str">
        <f aca="false">IF('DATA UNIT'!$B17="","",'DATA UNIT'!$B17)</f>
        <v>B 2317 UKL</v>
      </c>
      <c r="B302" s="6" t="str">
        <f aca="false">IF($A302="","",INDEX(PlanningItemsList,1))</f>
        <v>PM Check / Reguler Services</v>
      </c>
      <c r="C302" s="7"/>
      <c r="D302" s="7"/>
    </row>
    <row r="303" customFormat="false" ht="15" hidden="false" customHeight="false" outlineLevel="0" collapsed="false">
      <c r="A303" s="6" t="str">
        <f aca="false">IF('DATA UNIT'!$B17="","",'DATA UNIT'!$B17)</f>
        <v>B 2317 UKL</v>
      </c>
      <c r="B303" s="6" t="str">
        <f aca="false">IF($A303="","",INDEX(PlanningItemsList,2))</f>
        <v>Service A</v>
      </c>
      <c r="C303" s="7"/>
      <c r="D303" s="7"/>
    </row>
    <row r="304" customFormat="false" ht="15" hidden="false" customHeight="false" outlineLevel="0" collapsed="false">
      <c r="A304" s="6" t="str">
        <f aca="false">IF('DATA UNIT'!$B17="","",'DATA UNIT'!$B17)</f>
        <v>B 2317 UKL</v>
      </c>
      <c r="B304" s="6" t="str">
        <f aca="false">IF($A304="","",INDEX(PlanningItemsList,3))</f>
        <v>Service B</v>
      </c>
      <c r="C304" s="7"/>
      <c r="D304" s="7"/>
    </row>
    <row r="305" customFormat="false" ht="15" hidden="false" customHeight="false" outlineLevel="0" collapsed="false">
      <c r="A305" s="6" t="str">
        <f aca="false">IF('DATA UNIT'!$B17="","",'DATA UNIT'!$B17)</f>
        <v>B 2317 UKL</v>
      </c>
      <c r="B305" s="6" t="str">
        <f aca="false">IF($A305="","",INDEX(PlanningItemsList,4))</f>
        <v>Brake Pad</v>
      </c>
      <c r="C305" s="7"/>
      <c r="D305" s="7"/>
    </row>
    <row r="306" customFormat="false" ht="15" hidden="false" customHeight="false" outlineLevel="0" collapsed="false">
      <c r="A306" s="6" t="str">
        <f aca="false">IF('DATA UNIT'!$B17="","",'DATA UNIT'!$B17)</f>
        <v>B 2317 UKL</v>
      </c>
      <c r="B306" s="6" t="str">
        <f aca="false">IF($A306="","",INDEX(PlanningItemsList,5))</f>
        <v>Brake Shoe</v>
      </c>
      <c r="C306" s="7"/>
      <c r="D306" s="7"/>
    </row>
    <row r="307" customFormat="false" ht="15" hidden="false" customHeight="false" outlineLevel="0" collapsed="false">
      <c r="A307" s="6" t="str">
        <f aca="false">IF('DATA UNIT'!$B17="","",'DATA UNIT'!$B17)</f>
        <v>B 2317 UKL</v>
      </c>
      <c r="B307" s="6" t="str">
        <f aca="false">IF($A307="","",INDEX(PlanningItemsList,6))</f>
        <v>Accu</v>
      </c>
      <c r="C307" s="7"/>
      <c r="D307" s="7"/>
    </row>
    <row r="308" customFormat="false" ht="15" hidden="false" customHeight="false" outlineLevel="0" collapsed="false">
      <c r="A308" s="6" t="str">
        <f aca="false">IF('DATA UNIT'!$B17="","",'DATA UNIT'!$B17)</f>
        <v>B 2317 UKL</v>
      </c>
      <c r="B308" s="6" t="str">
        <f aca="false">IF($A308="","",INDEX(PlanningItemsList,7))</f>
        <v>Kampas Kopling Set</v>
      </c>
      <c r="C308" s="7"/>
      <c r="D308" s="7"/>
    </row>
    <row r="309" customFormat="false" ht="15" hidden="false" customHeight="false" outlineLevel="0" collapsed="false">
      <c r="A309" s="6" t="str">
        <f aca="false">IF('DATA UNIT'!$B17="","",'DATA UNIT'!$B17)</f>
        <v>B 2317 UKL</v>
      </c>
      <c r="B309" s="6" t="str">
        <f aca="false">IF($A309="","",INDEX(PlanningItemsList,8))</f>
        <v>Wiper Blade</v>
      </c>
      <c r="C309" s="7"/>
      <c r="D309" s="7"/>
    </row>
    <row r="310" customFormat="false" ht="15" hidden="false" customHeight="false" outlineLevel="0" collapsed="false">
      <c r="A310" s="6" t="str">
        <f aca="false">IF('DATA UNIT'!$B17="","",'DATA UNIT'!$B17)</f>
        <v>B 2317 UKL</v>
      </c>
      <c r="B310" s="6" t="str">
        <f aca="false">IF($A310="","",INDEX(PlanningItemsList,9))</f>
        <v>Ban Depan</v>
      </c>
      <c r="C310" s="7"/>
      <c r="D310" s="7"/>
    </row>
    <row r="311" customFormat="false" ht="15" hidden="false" customHeight="false" outlineLevel="0" collapsed="false">
      <c r="A311" s="6" t="str">
        <f aca="false">IF('DATA UNIT'!$B17="","",'DATA UNIT'!$B17)</f>
        <v>B 2317 UKL</v>
      </c>
      <c r="B311" s="6" t="str">
        <f aca="false">IF($A311="","",INDEX(PlanningItemsList,10))</f>
        <v>Ban Belakang</v>
      </c>
      <c r="C311" s="7"/>
      <c r="D311" s="7"/>
    </row>
    <row r="312" customFormat="false" ht="15" hidden="false" customHeight="false" outlineLevel="0" collapsed="false">
      <c r="A312" s="6" t="str">
        <f aca="false">IF('DATA UNIT'!$B17="","",'DATA UNIT'!$B17)</f>
        <v>B 2317 UKL</v>
      </c>
      <c r="B312" s="6" t="str">
        <f aca="false">IF($A312="","",INDEX(PlanningItemsList,11))</f>
        <v>Ban Serep</v>
      </c>
      <c r="C312" s="7"/>
      <c r="D312" s="7"/>
    </row>
    <row r="313" customFormat="false" ht="15" hidden="false" customHeight="false" outlineLevel="0" collapsed="false">
      <c r="A313" s="6" t="str">
        <f aca="false">IF('DATA UNIT'!$B17="","",'DATA UNIT'!$B17)</f>
        <v>B 2317 UKL</v>
      </c>
      <c r="B313" s="6" t="str">
        <f aca="false">IF($A313="","",INDEX(PlanningItemsList,12))</f>
        <v>Greasing</v>
      </c>
      <c r="C313" s="7"/>
      <c r="D313" s="7"/>
    </row>
    <row r="314" customFormat="false" ht="15" hidden="false" customHeight="false" outlineLevel="0" collapsed="false">
      <c r="A314" s="6" t="str">
        <f aca="false">IF('DATA UNIT'!$B17="","",'DATA UNIT'!$B17)</f>
        <v>B 2317 UKL</v>
      </c>
      <c r="B314" s="6" t="str">
        <f aca="false">IF($A314="","",INDEX(PlanningItemsList,13))</f>
        <v>V-Belt</v>
      </c>
      <c r="C314" s="7"/>
      <c r="D314" s="7"/>
    </row>
    <row r="315" customFormat="false" ht="15" hidden="false" customHeight="false" outlineLevel="0" collapsed="false">
      <c r="A315" s="6" t="str">
        <f aca="false">IF('DATA UNIT'!$B17="","",'DATA UNIT'!$B17)</f>
        <v>B 2317 UKL</v>
      </c>
      <c r="B315" s="6" t="str">
        <f aca="false">IF($A315="","",INDEX(PlanningItemsList,14))</f>
        <v>Sarung Jok</v>
      </c>
      <c r="C315" s="7"/>
      <c r="D315" s="7"/>
    </row>
    <row r="316" customFormat="false" ht="15" hidden="false" customHeight="false" outlineLevel="0" collapsed="false">
      <c r="A316" s="6" t="str">
        <f aca="false">IF('DATA UNIT'!$B17="","",'DATA UNIT'!$B17)</f>
        <v>B 2317 UKL</v>
      </c>
      <c r="B316" s="6" t="str">
        <f aca="false">IF($A316="","",INDEX(PlanningItemsList,15))</f>
        <v>Karpet Karet</v>
      </c>
      <c r="C316" s="7"/>
      <c r="D316" s="7"/>
    </row>
    <row r="317" customFormat="false" ht="15" hidden="false" customHeight="false" outlineLevel="0" collapsed="false">
      <c r="A317" s="6" t="str">
        <f aca="false">IF('DATA UNIT'!$B17="","",'DATA UNIT'!$B17)</f>
        <v>B 2317 UKL</v>
      </c>
      <c r="B317" s="6" t="str">
        <f aca="false">IF($A317="","",INDEX(PlanningItemsList,16))</f>
        <v>Karpet Dasar</v>
      </c>
      <c r="C317" s="7"/>
      <c r="D317" s="7"/>
    </row>
    <row r="318" customFormat="false" ht="15" hidden="false" customHeight="false" outlineLevel="0" collapsed="false">
      <c r="A318" s="6" t="str">
        <f aca="false">IF('DATA UNIT'!$B17="","",'DATA UNIT'!$B17)</f>
        <v>B 2317 UKL</v>
      </c>
      <c r="B318" s="6" t="str">
        <f aca="false">IF($A318="","",INDEX(PlanningItemsList,17))</f>
        <v>Flushing Radiator</v>
      </c>
      <c r="C318" s="7"/>
      <c r="D318" s="7"/>
    </row>
    <row r="319" customFormat="false" ht="15" hidden="false" customHeight="false" outlineLevel="0" collapsed="false">
      <c r="A319" s="6" t="str">
        <f aca="false">IF('DATA UNIT'!$B17="","",'DATA UNIT'!$B17)</f>
        <v>B 2317 UKL</v>
      </c>
      <c r="B319" s="6" t="str">
        <f aca="false">IF($A319="","",INDEX(PlanningItemsList,18))</f>
        <v>Flushing Steering</v>
      </c>
      <c r="C319" s="7"/>
      <c r="D319" s="7"/>
    </row>
    <row r="320" customFormat="false" ht="15" hidden="false" customHeight="false" outlineLevel="0" collapsed="false">
      <c r="A320" s="6" t="str">
        <f aca="false">IF('DATA UNIT'!$B17="","",'DATA UNIT'!$B17)</f>
        <v>B 2317 UKL</v>
      </c>
      <c r="B320" s="6" t="str">
        <f aca="false">IF($A320="","",INDEX(PlanningItemsList,19))</f>
        <v>Flushing Injector</v>
      </c>
      <c r="C320" s="7"/>
      <c r="D320" s="7"/>
    </row>
    <row r="321" customFormat="false" ht="15" hidden="false" customHeight="false" outlineLevel="0" collapsed="false">
      <c r="A321" s="6" t="str">
        <f aca="false">IF('DATA UNIT'!$B17="","",'DATA UNIT'!$B17)</f>
        <v>B 2317 UKL</v>
      </c>
      <c r="B321" s="6" t="str">
        <f aca="false">IF($A321="","",INDEX(PlanningItemsList,20))</f>
        <v>Flushing Rem</v>
      </c>
      <c r="C321" s="7"/>
      <c r="D321" s="7"/>
    </row>
    <row r="322" customFormat="false" ht="15" hidden="false" customHeight="false" outlineLevel="0" collapsed="false">
      <c r="A322" s="6" t="str">
        <f aca="false">IF('DATA UNIT'!$B18="","",'DATA UNIT'!$B18)</f>
        <v>B 2229 UOK</v>
      </c>
      <c r="B322" s="6" t="str">
        <f aca="false">IF($A322="","",INDEX(PlanningItemsList,1))</f>
        <v>PM Check / Reguler Services</v>
      </c>
      <c r="C322" s="7"/>
      <c r="D322" s="7"/>
    </row>
    <row r="323" customFormat="false" ht="15" hidden="false" customHeight="false" outlineLevel="0" collapsed="false">
      <c r="A323" s="6" t="str">
        <f aca="false">IF('DATA UNIT'!$B18="","",'DATA UNIT'!$B18)</f>
        <v>B 2229 UOK</v>
      </c>
      <c r="B323" s="6" t="str">
        <f aca="false">IF($A323="","",INDEX(PlanningItemsList,2))</f>
        <v>Service A</v>
      </c>
      <c r="C323" s="7"/>
      <c r="D323" s="7"/>
    </row>
    <row r="324" customFormat="false" ht="15" hidden="false" customHeight="false" outlineLevel="0" collapsed="false">
      <c r="A324" s="6" t="str">
        <f aca="false">IF('DATA UNIT'!$B18="","",'DATA UNIT'!$B18)</f>
        <v>B 2229 UOK</v>
      </c>
      <c r="B324" s="6" t="str">
        <f aca="false">IF($A324="","",INDEX(PlanningItemsList,3))</f>
        <v>Service B</v>
      </c>
      <c r="C324" s="7"/>
      <c r="D324" s="7"/>
    </row>
    <row r="325" customFormat="false" ht="15" hidden="false" customHeight="false" outlineLevel="0" collapsed="false">
      <c r="A325" s="6" t="str">
        <f aca="false">IF('DATA UNIT'!$B18="","",'DATA UNIT'!$B18)</f>
        <v>B 2229 UOK</v>
      </c>
      <c r="B325" s="6" t="str">
        <f aca="false">IF($A325="","",INDEX(PlanningItemsList,4))</f>
        <v>Brake Pad</v>
      </c>
      <c r="C325" s="7"/>
      <c r="D325" s="7"/>
    </row>
    <row r="326" customFormat="false" ht="15" hidden="false" customHeight="false" outlineLevel="0" collapsed="false">
      <c r="A326" s="6" t="str">
        <f aca="false">IF('DATA UNIT'!$B18="","",'DATA UNIT'!$B18)</f>
        <v>B 2229 UOK</v>
      </c>
      <c r="B326" s="6" t="str">
        <f aca="false">IF($A326="","",INDEX(PlanningItemsList,5))</f>
        <v>Brake Shoe</v>
      </c>
      <c r="C326" s="7"/>
      <c r="D326" s="7"/>
    </row>
    <row r="327" customFormat="false" ht="15" hidden="false" customHeight="false" outlineLevel="0" collapsed="false">
      <c r="A327" s="6" t="str">
        <f aca="false">IF('DATA UNIT'!$B18="","",'DATA UNIT'!$B18)</f>
        <v>B 2229 UOK</v>
      </c>
      <c r="B327" s="6" t="str">
        <f aca="false">IF($A327="","",INDEX(PlanningItemsList,6))</f>
        <v>Accu</v>
      </c>
      <c r="C327" s="7"/>
      <c r="D327" s="7"/>
    </row>
    <row r="328" customFormat="false" ht="15" hidden="false" customHeight="false" outlineLevel="0" collapsed="false">
      <c r="A328" s="6" t="str">
        <f aca="false">IF('DATA UNIT'!$B18="","",'DATA UNIT'!$B18)</f>
        <v>B 2229 UOK</v>
      </c>
      <c r="B328" s="6" t="str">
        <f aca="false">IF($A328="","",INDEX(PlanningItemsList,7))</f>
        <v>Kampas Kopling Set</v>
      </c>
      <c r="C328" s="7"/>
      <c r="D328" s="7"/>
    </row>
    <row r="329" customFormat="false" ht="15" hidden="false" customHeight="false" outlineLevel="0" collapsed="false">
      <c r="A329" s="6" t="str">
        <f aca="false">IF('DATA UNIT'!$B18="","",'DATA UNIT'!$B18)</f>
        <v>B 2229 UOK</v>
      </c>
      <c r="B329" s="6" t="str">
        <f aca="false">IF($A329="","",INDEX(PlanningItemsList,8))</f>
        <v>Wiper Blade</v>
      </c>
      <c r="C329" s="7"/>
      <c r="D329" s="7"/>
    </row>
    <row r="330" customFormat="false" ht="15" hidden="false" customHeight="false" outlineLevel="0" collapsed="false">
      <c r="A330" s="6" t="str">
        <f aca="false">IF('DATA UNIT'!$B18="","",'DATA UNIT'!$B18)</f>
        <v>B 2229 UOK</v>
      </c>
      <c r="B330" s="6" t="str">
        <f aca="false">IF($A330="","",INDEX(PlanningItemsList,9))</f>
        <v>Ban Depan</v>
      </c>
      <c r="C330" s="7"/>
      <c r="D330" s="7"/>
    </row>
    <row r="331" customFormat="false" ht="15" hidden="false" customHeight="false" outlineLevel="0" collapsed="false">
      <c r="A331" s="6" t="str">
        <f aca="false">IF('DATA UNIT'!$B18="","",'DATA UNIT'!$B18)</f>
        <v>B 2229 UOK</v>
      </c>
      <c r="B331" s="6" t="str">
        <f aca="false">IF($A331="","",INDEX(PlanningItemsList,10))</f>
        <v>Ban Belakang</v>
      </c>
      <c r="C331" s="7"/>
      <c r="D331" s="7"/>
    </row>
    <row r="332" customFormat="false" ht="15" hidden="false" customHeight="false" outlineLevel="0" collapsed="false">
      <c r="A332" s="6" t="str">
        <f aca="false">IF('DATA UNIT'!$B18="","",'DATA UNIT'!$B18)</f>
        <v>B 2229 UOK</v>
      </c>
      <c r="B332" s="6" t="str">
        <f aca="false">IF($A332="","",INDEX(PlanningItemsList,11))</f>
        <v>Ban Serep</v>
      </c>
      <c r="C332" s="7"/>
      <c r="D332" s="7"/>
    </row>
    <row r="333" customFormat="false" ht="15" hidden="false" customHeight="false" outlineLevel="0" collapsed="false">
      <c r="A333" s="6" t="str">
        <f aca="false">IF('DATA UNIT'!$B18="","",'DATA UNIT'!$B18)</f>
        <v>B 2229 UOK</v>
      </c>
      <c r="B333" s="6" t="str">
        <f aca="false">IF($A333="","",INDEX(PlanningItemsList,12))</f>
        <v>Greasing</v>
      </c>
      <c r="C333" s="7"/>
      <c r="D333" s="7"/>
    </row>
    <row r="334" customFormat="false" ht="15" hidden="false" customHeight="false" outlineLevel="0" collapsed="false">
      <c r="A334" s="6" t="str">
        <f aca="false">IF('DATA UNIT'!$B18="","",'DATA UNIT'!$B18)</f>
        <v>B 2229 UOK</v>
      </c>
      <c r="B334" s="6" t="str">
        <f aca="false">IF($A334="","",INDEX(PlanningItemsList,13))</f>
        <v>V-Belt</v>
      </c>
      <c r="C334" s="7"/>
      <c r="D334" s="7"/>
    </row>
    <row r="335" customFormat="false" ht="15" hidden="false" customHeight="false" outlineLevel="0" collapsed="false">
      <c r="A335" s="6" t="str">
        <f aca="false">IF('DATA UNIT'!$B18="","",'DATA UNIT'!$B18)</f>
        <v>B 2229 UOK</v>
      </c>
      <c r="B335" s="6" t="str">
        <f aca="false">IF($A335="","",INDEX(PlanningItemsList,14))</f>
        <v>Sarung Jok</v>
      </c>
      <c r="C335" s="7"/>
      <c r="D335" s="7"/>
    </row>
    <row r="336" customFormat="false" ht="15" hidden="false" customHeight="false" outlineLevel="0" collapsed="false">
      <c r="A336" s="6" t="str">
        <f aca="false">IF('DATA UNIT'!$B18="","",'DATA UNIT'!$B18)</f>
        <v>B 2229 UOK</v>
      </c>
      <c r="B336" s="6" t="str">
        <f aca="false">IF($A336="","",INDEX(PlanningItemsList,15))</f>
        <v>Karpet Karet</v>
      </c>
      <c r="C336" s="7"/>
      <c r="D336" s="7"/>
    </row>
    <row r="337" customFormat="false" ht="15" hidden="false" customHeight="false" outlineLevel="0" collapsed="false">
      <c r="A337" s="6" t="str">
        <f aca="false">IF('DATA UNIT'!$B18="","",'DATA UNIT'!$B18)</f>
        <v>B 2229 UOK</v>
      </c>
      <c r="B337" s="6" t="str">
        <f aca="false">IF($A337="","",INDEX(PlanningItemsList,16))</f>
        <v>Karpet Dasar</v>
      </c>
      <c r="C337" s="7"/>
      <c r="D337" s="7"/>
    </row>
    <row r="338" customFormat="false" ht="15" hidden="false" customHeight="false" outlineLevel="0" collapsed="false">
      <c r="A338" s="6" t="str">
        <f aca="false">IF('DATA UNIT'!$B18="","",'DATA UNIT'!$B18)</f>
        <v>B 2229 UOK</v>
      </c>
      <c r="B338" s="6" t="str">
        <f aca="false">IF($A338="","",INDEX(PlanningItemsList,17))</f>
        <v>Flushing Radiator</v>
      </c>
      <c r="C338" s="7"/>
      <c r="D338" s="7"/>
    </row>
    <row r="339" customFormat="false" ht="15" hidden="false" customHeight="false" outlineLevel="0" collapsed="false">
      <c r="A339" s="6" t="str">
        <f aca="false">IF('DATA UNIT'!$B18="","",'DATA UNIT'!$B18)</f>
        <v>B 2229 UOK</v>
      </c>
      <c r="B339" s="6" t="str">
        <f aca="false">IF($A339="","",INDEX(PlanningItemsList,18))</f>
        <v>Flushing Steering</v>
      </c>
      <c r="C339" s="7"/>
      <c r="D339" s="7"/>
    </row>
    <row r="340" customFormat="false" ht="15" hidden="false" customHeight="false" outlineLevel="0" collapsed="false">
      <c r="A340" s="6" t="str">
        <f aca="false">IF('DATA UNIT'!$B18="","",'DATA UNIT'!$B18)</f>
        <v>B 2229 UOK</v>
      </c>
      <c r="B340" s="6" t="str">
        <f aca="false">IF($A340="","",INDEX(PlanningItemsList,19))</f>
        <v>Flushing Injector</v>
      </c>
      <c r="C340" s="7"/>
      <c r="D340" s="7"/>
    </row>
    <row r="341" customFormat="false" ht="15" hidden="false" customHeight="false" outlineLevel="0" collapsed="false">
      <c r="A341" s="6" t="str">
        <f aca="false">IF('DATA UNIT'!$B18="","",'DATA UNIT'!$B18)</f>
        <v>B 2229 UOK</v>
      </c>
      <c r="B341" s="6" t="str">
        <f aca="false">IF($A341="","",INDEX(PlanningItemsList,20))</f>
        <v>Flushing Rem</v>
      </c>
      <c r="C341" s="7"/>
      <c r="D341" s="7"/>
    </row>
    <row r="342" customFormat="false" ht="15" hidden="false" customHeight="false" outlineLevel="0" collapsed="false">
      <c r="A342" s="6" t="str">
        <f aca="false">IF('DATA UNIT'!$B19="","",'DATA UNIT'!$B19)</f>
        <v>B 1695 EOS</v>
      </c>
      <c r="B342" s="6" t="str">
        <f aca="false">IF($A342="","",INDEX(PlanningItemsList,1))</f>
        <v>PM Check / Reguler Services</v>
      </c>
      <c r="C342" s="7"/>
      <c r="D342" s="7"/>
    </row>
    <row r="343" customFormat="false" ht="15" hidden="false" customHeight="false" outlineLevel="0" collapsed="false">
      <c r="A343" s="6" t="str">
        <f aca="false">IF('DATA UNIT'!$B19="","",'DATA UNIT'!$B19)</f>
        <v>B 1695 EOS</v>
      </c>
      <c r="B343" s="6" t="str">
        <f aca="false">IF($A343="","",INDEX(PlanningItemsList,2))</f>
        <v>Service A</v>
      </c>
      <c r="C343" s="7"/>
      <c r="D343" s="7"/>
    </row>
    <row r="344" customFormat="false" ht="15" hidden="false" customHeight="false" outlineLevel="0" collapsed="false">
      <c r="A344" s="6" t="str">
        <f aca="false">IF('DATA UNIT'!$B19="","",'DATA UNIT'!$B19)</f>
        <v>B 1695 EOS</v>
      </c>
      <c r="B344" s="6" t="str">
        <f aca="false">IF($A344="","",INDEX(PlanningItemsList,3))</f>
        <v>Service B</v>
      </c>
      <c r="C344" s="7"/>
      <c r="D344" s="7"/>
    </row>
    <row r="345" customFormat="false" ht="15" hidden="false" customHeight="false" outlineLevel="0" collapsed="false">
      <c r="A345" s="6" t="str">
        <f aca="false">IF('DATA UNIT'!$B19="","",'DATA UNIT'!$B19)</f>
        <v>B 1695 EOS</v>
      </c>
      <c r="B345" s="6" t="str">
        <f aca="false">IF($A345="","",INDEX(PlanningItemsList,4))</f>
        <v>Brake Pad</v>
      </c>
      <c r="C345" s="7"/>
      <c r="D345" s="7"/>
    </row>
    <row r="346" customFormat="false" ht="15" hidden="false" customHeight="false" outlineLevel="0" collapsed="false">
      <c r="A346" s="6" t="str">
        <f aca="false">IF('DATA UNIT'!$B19="","",'DATA UNIT'!$B19)</f>
        <v>B 1695 EOS</v>
      </c>
      <c r="B346" s="6" t="str">
        <f aca="false">IF($A346="","",INDEX(PlanningItemsList,5))</f>
        <v>Brake Shoe</v>
      </c>
      <c r="C346" s="7"/>
      <c r="D346" s="7"/>
    </row>
    <row r="347" customFormat="false" ht="15" hidden="false" customHeight="false" outlineLevel="0" collapsed="false">
      <c r="A347" s="6" t="str">
        <f aca="false">IF('DATA UNIT'!$B19="","",'DATA UNIT'!$B19)</f>
        <v>B 1695 EOS</v>
      </c>
      <c r="B347" s="6" t="str">
        <f aca="false">IF($A347="","",INDEX(PlanningItemsList,6))</f>
        <v>Accu</v>
      </c>
      <c r="C347" s="7"/>
      <c r="D347" s="7"/>
    </row>
    <row r="348" customFormat="false" ht="15" hidden="false" customHeight="false" outlineLevel="0" collapsed="false">
      <c r="A348" s="6" t="str">
        <f aca="false">IF('DATA UNIT'!$B19="","",'DATA UNIT'!$B19)</f>
        <v>B 1695 EOS</v>
      </c>
      <c r="B348" s="6" t="str">
        <f aca="false">IF($A348="","",INDEX(PlanningItemsList,7))</f>
        <v>Kampas Kopling Set</v>
      </c>
      <c r="C348" s="7"/>
      <c r="D348" s="7"/>
    </row>
    <row r="349" customFormat="false" ht="15" hidden="false" customHeight="false" outlineLevel="0" collapsed="false">
      <c r="A349" s="6" t="str">
        <f aca="false">IF('DATA UNIT'!$B19="","",'DATA UNIT'!$B19)</f>
        <v>B 1695 EOS</v>
      </c>
      <c r="B349" s="6" t="str">
        <f aca="false">IF($A349="","",INDEX(PlanningItemsList,8))</f>
        <v>Wiper Blade</v>
      </c>
      <c r="C349" s="7"/>
      <c r="D349" s="7"/>
    </row>
    <row r="350" customFormat="false" ht="15" hidden="false" customHeight="false" outlineLevel="0" collapsed="false">
      <c r="A350" s="6" t="str">
        <f aca="false">IF('DATA UNIT'!$B19="","",'DATA UNIT'!$B19)</f>
        <v>B 1695 EOS</v>
      </c>
      <c r="B350" s="6" t="str">
        <f aca="false">IF($A350="","",INDEX(PlanningItemsList,9))</f>
        <v>Ban Depan</v>
      </c>
      <c r="C350" s="7"/>
      <c r="D350" s="7"/>
    </row>
    <row r="351" customFormat="false" ht="15" hidden="false" customHeight="false" outlineLevel="0" collapsed="false">
      <c r="A351" s="6" t="str">
        <f aca="false">IF('DATA UNIT'!$B19="","",'DATA UNIT'!$B19)</f>
        <v>B 1695 EOS</v>
      </c>
      <c r="B351" s="6" t="str">
        <f aca="false">IF($A351="","",INDEX(PlanningItemsList,10))</f>
        <v>Ban Belakang</v>
      </c>
      <c r="C351" s="7"/>
      <c r="D351" s="7"/>
    </row>
    <row r="352" customFormat="false" ht="15" hidden="false" customHeight="false" outlineLevel="0" collapsed="false">
      <c r="A352" s="6" t="str">
        <f aca="false">IF('DATA UNIT'!$B19="","",'DATA UNIT'!$B19)</f>
        <v>B 1695 EOS</v>
      </c>
      <c r="B352" s="6" t="str">
        <f aca="false">IF($A352="","",INDEX(PlanningItemsList,11))</f>
        <v>Ban Serep</v>
      </c>
      <c r="C352" s="7"/>
      <c r="D352" s="7"/>
    </row>
    <row r="353" customFormat="false" ht="15" hidden="false" customHeight="false" outlineLevel="0" collapsed="false">
      <c r="A353" s="6" t="str">
        <f aca="false">IF('DATA UNIT'!$B19="","",'DATA UNIT'!$B19)</f>
        <v>B 1695 EOS</v>
      </c>
      <c r="B353" s="6" t="str">
        <f aca="false">IF($A353="","",INDEX(PlanningItemsList,12))</f>
        <v>Greasing</v>
      </c>
      <c r="C353" s="7"/>
      <c r="D353" s="7"/>
    </row>
    <row r="354" customFormat="false" ht="15" hidden="false" customHeight="false" outlineLevel="0" collapsed="false">
      <c r="A354" s="6" t="str">
        <f aca="false">IF('DATA UNIT'!$B19="","",'DATA UNIT'!$B19)</f>
        <v>B 1695 EOS</v>
      </c>
      <c r="B354" s="6" t="str">
        <f aca="false">IF($A354="","",INDEX(PlanningItemsList,13))</f>
        <v>V-Belt</v>
      </c>
      <c r="C354" s="7"/>
      <c r="D354" s="7"/>
    </row>
    <row r="355" customFormat="false" ht="15" hidden="false" customHeight="false" outlineLevel="0" collapsed="false">
      <c r="A355" s="6" t="str">
        <f aca="false">IF('DATA UNIT'!$B19="","",'DATA UNIT'!$B19)</f>
        <v>B 1695 EOS</v>
      </c>
      <c r="B355" s="6" t="str">
        <f aca="false">IF($A355="","",INDEX(PlanningItemsList,14))</f>
        <v>Sarung Jok</v>
      </c>
      <c r="C355" s="7"/>
      <c r="D355" s="7"/>
    </row>
    <row r="356" customFormat="false" ht="15" hidden="false" customHeight="false" outlineLevel="0" collapsed="false">
      <c r="A356" s="6" t="str">
        <f aca="false">IF('DATA UNIT'!$B19="","",'DATA UNIT'!$B19)</f>
        <v>B 1695 EOS</v>
      </c>
      <c r="B356" s="6" t="str">
        <f aca="false">IF($A356="","",INDEX(PlanningItemsList,15))</f>
        <v>Karpet Karet</v>
      </c>
      <c r="C356" s="7"/>
      <c r="D356" s="7"/>
    </row>
    <row r="357" customFormat="false" ht="15" hidden="false" customHeight="false" outlineLevel="0" collapsed="false">
      <c r="A357" s="6" t="str">
        <f aca="false">IF('DATA UNIT'!$B19="","",'DATA UNIT'!$B19)</f>
        <v>B 1695 EOS</v>
      </c>
      <c r="B357" s="6" t="str">
        <f aca="false">IF($A357="","",INDEX(PlanningItemsList,16))</f>
        <v>Karpet Dasar</v>
      </c>
      <c r="C357" s="7"/>
      <c r="D357" s="7"/>
    </row>
    <row r="358" customFormat="false" ht="15" hidden="false" customHeight="false" outlineLevel="0" collapsed="false">
      <c r="A358" s="6" t="str">
        <f aca="false">IF('DATA UNIT'!$B19="","",'DATA UNIT'!$B19)</f>
        <v>B 1695 EOS</v>
      </c>
      <c r="B358" s="6" t="str">
        <f aca="false">IF($A358="","",INDEX(PlanningItemsList,17))</f>
        <v>Flushing Radiator</v>
      </c>
      <c r="C358" s="7"/>
      <c r="D358" s="7"/>
    </row>
    <row r="359" customFormat="false" ht="15" hidden="false" customHeight="false" outlineLevel="0" collapsed="false">
      <c r="A359" s="6" t="str">
        <f aca="false">IF('DATA UNIT'!$B19="","",'DATA UNIT'!$B19)</f>
        <v>B 1695 EOS</v>
      </c>
      <c r="B359" s="6" t="str">
        <f aca="false">IF($A359="","",INDEX(PlanningItemsList,18))</f>
        <v>Flushing Steering</v>
      </c>
      <c r="C359" s="7"/>
      <c r="D359" s="7"/>
    </row>
    <row r="360" customFormat="false" ht="15" hidden="false" customHeight="false" outlineLevel="0" collapsed="false">
      <c r="A360" s="6" t="str">
        <f aca="false">IF('DATA UNIT'!$B19="","",'DATA UNIT'!$B19)</f>
        <v>B 1695 EOS</v>
      </c>
      <c r="B360" s="6" t="str">
        <f aca="false">IF($A360="","",INDEX(PlanningItemsList,19))</f>
        <v>Flushing Injector</v>
      </c>
      <c r="C360" s="7"/>
      <c r="D360" s="7"/>
    </row>
    <row r="361" customFormat="false" ht="15" hidden="false" customHeight="false" outlineLevel="0" collapsed="false">
      <c r="A361" s="6" t="str">
        <f aca="false">IF('DATA UNIT'!$B19="","",'DATA UNIT'!$B19)</f>
        <v>B 1695 EOS</v>
      </c>
      <c r="B361" s="6" t="str">
        <f aca="false">IF($A361="","",INDEX(PlanningItemsList,20))</f>
        <v>Flushing Rem</v>
      </c>
      <c r="C361" s="7"/>
      <c r="D361" s="7"/>
    </row>
    <row r="362" customFormat="false" ht="15" hidden="false" customHeight="false" outlineLevel="0" collapsed="false">
      <c r="A362" s="6" t="str">
        <f aca="false">IF('DATA UNIT'!$B20="","",'DATA UNIT'!$B20)</f>
        <v>B 1984 EJA</v>
      </c>
      <c r="B362" s="6" t="str">
        <f aca="false">IF($A362="","",INDEX(PlanningItemsList,1))</f>
        <v>PM Check / Reguler Services</v>
      </c>
      <c r="C362" s="7"/>
      <c r="D362" s="7"/>
    </row>
    <row r="363" customFormat="false" ht="15" hidden="false" customHeight="false" outlineLevel="0" collapsed="false">
      <c r="A363" s="6" t="str">
        <f aca="false">IF('DATA UNIT'!$B20="","",'DATA UNIT'!$B20)</f>
        <v>B 1984 EJA</v>
      </c>
      <c r="B363" s="6" t="str">
        <f aca="false">IF($A363="","",INDEX(PlanningItemsList,2))</f>
        <v>Service A</v>
      </c>
      <c r="C363" s="7"/>
      <c r="D363" s="7"/>
    </row>
    <row r="364" customFormat="false" ht="15" hidden="false" customHeight="false" outlineLevel="0" collapsed="false">
      <c r="A364" s="6" t="str">
        <f aca="false">IF('DATA UNIT'!$B20="","",'DATA UNIT'!$B20)</f>
        <v>B 1984 EJA</v>
      </c>
      <c r="B364" s="6" t="str">
        <f aca="false">IF($A364="","",INDEX(PlanningItemsList,3))</f>
        <v>Service B</v>
      </c>
      <c r="C364" s="7"/>
      <c r="D364" s="7"/>
    </row>
    <row r="365" customFormat="false" ht="15" hidden="false" customHeight="false" outlineLevel="0" collapsed="false">
      <c r="A365" s="6" t="str">
        <f aca="false">IF('DATA UNIT'!$B20="","",'DATA UNIT'!$B20)</f>
        <v>B 1984 EJA</v>
      </c>
      <c r="B365" s="6" t="str">
        <f aca="false">IF($A365="","",INDEX(PlanningItemsList,4))</f>
        <v>Brake Pad</v>
      </c>
      <c r="C365" s="7"/>
      <c r="D365" s="7"/>
    </row>
    <row r="366" customFormat="false" ht="15" hidden="false" customHeight="false" outlineLevel="0" collapsed="false">
      <c r="A366" s="6" t="str">
        <f aca="false">IF('DATA UNIT'!$B20="","",'DATA UNIT'!$B20)</f>
        <v>B 1984 EJA</v>
      </c>
      <c r="B366" s="6" t="str">
        <f aca="false">IF($A366="","",INDEX(PlanningItemsList,5))</f>
        <v>Brake Shoe</v>
      </c>
      <c r="C366" s="7"/>
      <c r="D366" s="7"/>
    </row>
    <row r="367" customFormat="false" ht="15" hidden="false" customHeight="false" outlineLevel="0" collapsed="false">
      <c r="A367" s="6" t="str">
        <f aca="false">IF('DATA UNIT'!$B20="","",'DATA UNIT'!$B20)</f>
        <v>B 1984 EJA</v>
      </c>
      <c r="B367" s="6" t="str">
        <f aca="false">IF($A367="","",INDEX(PlanningItemsList,6))</f>
        <v>Accu</v>
      </c>
      <c r="C367" s="7"/>
      <c r="D367" s="7"/>
    </row>
    <row r="368" customFormat="false" ht="15" hidden="false" customHeight="false" outlineLevel="0" collapsed="false">
      <c r="A368" s="6" t="str">
        <f aca="false">IF('DATA UNIT'!$B20="","",'DATA UNIT'!$B20)</f>
        <v>B 1984 EJA</v>
      </c>
      <c r="B368" s="6" t="str">
        <f aca="false">IF($A368="","",INDEX(PlanningItemsList,7))</f>
        <v>Kampas Kopling Set</v>
      </c>
      <c r="C368" s="7"/>
      <c r="D368" s="7"/>
    </row>
    <row r="369" customFormat="false" ht="15" hidden="false" customHeight="false" outlineLevel="0" collapsed="false">
      <c r="A369" s="6" t="str">
        <f aca="false">IF('DATA UNIT'!$B20="","",'DATA UNIT'!$B20)</f>
        <v>B 1984 EJA</v>
      </c>
      <c r="B369" s="6" t="str">
        <f aca="false">IF($A369="","",INDEX(PlanningItemsList,8))</f>
        <v>Wiper Blade</v>
      </c>
      <c r="C369" s="7"/>
      <c r="D369" s="7"/>
    </row>
    <row r="370" customFormat="false" ht="15" hidden="false" customHeight="false" outlineLevel="0" collapsed="false">
      <c r="A370" s="6" t="str">
        <f aca="false">IF('DATA UNIT'!$B20="","",'DATA UNIT'!$B20)</f>
        <v>B 1984 EJA</v>
      </c>
      <c r="B370" s="6" t="str">
        <f aca="false">IF($A370="","",INDEX(PlanningItemsList,9))</f>
        <v>Ban Depan</v>
      </c>
      <c r="C370" s="7"/>
      <c r="D370" s="7"/>
    </row>
    <row r="371" customFormat="false" ht="15" hidden="false" customHeight="false" outlineLevel="0" collapsed="false">
      <c r="A371" s="6" t="str">
        <f aca="false">IF('DATA UNIT'!$B20="","",'DATA UNIT'!$B20)</f>
        <v>B 1984 EJA</v>
      </c>
      <c r="B371" s="6" t="str">
        <f aca="false">IF($A371="","",INDEX(PlanningItemsList,10))</f>
        <v>Ban Belakang</v>
      </c>
      <c r="C371" s="7"/>
      <c r="D371" s="7"/>
    </row>
    <row r="372" customFormat="false" ht="15" hidden="false" customHeight="false" outlineLevel="0" collapsed="false">
      <c r="A372" s="6" t="str">
        <f aca="false">IF('DATA UNIT'!$B20="","",'DATA UNIT'!$B20)</f>
        <v>B 1984 EJA</v>
      </c>
      <c r="B372" s="6" t="str">
        <f aca="false">IF($A372="","",INDEX(PlanningItemsList,11))</f>
        <v>Ban Serep</v>
      </c>
      <c r="C372" s="7"/>
      <c r="D372" s="7"/>
    </row>
    <row r="373" customFormat="false" ht="15" hidden="false" customHeight="false" outlineLevel="0" collapsed="false">
      <c r="A373" s="6" t="str">
        <f aca="false">IF('DATA UNIT'!$B20="","",'DATA UNIT'!$B20)</f>
        <v>B 1984 EJA</v>
      </c>
      <c r="B373" s="6" t="str">
        <f aca="false">IF($A373="","",INDEX(PlanningItemsList,12))</f>
        <v>Greasing</v>
      </c>
      <c r="C373" s="7"/>
      <c r="D373" s="7"/>
    </row>
    <row r="374" customFormat="false" ht="15" hidden="false" customHeight="false" outlineLevel="0" collapsed="false">
      <c r="A374" s="6" t="str">
        <f aca="false">IF('DATA UNIT'!$B20="","",'DATA UNIT'!$B20)</f>
        <v>B 1984 EJA</v>
      </c>
      <c r="B374" s="6" t="str">
        <f aca="false">IF($A374="","",INDEX(PlanningItemsList,13))</f>
        <v>V-Belt</v>
      </c>
      <c r="C374" s="7"/>
      <c r="D374" s="7"/>
    </row>
    <row r="375" customFormat="false" ht="15" hidden="false" customHeight="false" outlineLevel="0" collapsed="false">
      <c r="A375" s="6" t="str">
        <f aca="false">IF('DATA UNIT'!$B20="","",'DATA UNIT'!$B20)</f>
        <v>B 1984 EJA</v>
      </c>
      <c r="B375" s="6" t="str">
        <f aca="false">IF($A375="","",INDEX(PlanningItemsList,14))</f>
        <v>Sarung Jok</v>
      </c>
      <c r="C375" s="7"/>
      <c r="D375" s="7"/>
    </row>
    <row r="376" customFormat="false" ht="15" hidden="false" customHeight="false" outlineLevel="0" collapsed="false">
      <c r="A376" s="6" t="str">
        <f aca="false">IF('DATA UNIT'!$B20="","",'DATA UNIT'!$B20)</f>
        <v>B 1984 EJA</v>
      </c>
      <c r="B376" s="6" t="str">
        <f aca="false">IF($A376="","",INDEX(PlanningItemsList,15))</f>
        <v>Karpet Karet</v>
      </c>
      <c r="C376" s="7"/>
      <c r="D376" s="7"/>
    </row>
    <row r="377" customFormat="false" ht="15" hidden="false" customHeight="false" outlineLevel="0" collapsed="false">
      <c r="A377" s="6" t="str">
        <f aca="false">IF('DATA UNIT'!$B20="","",'DATA UNIT'!$B20)</f>
        <v>B 1984 EJA</v>
      </c>
      <c r="B377" s="6" t="str">
        <f aca="false">IF($A377="","",INDEX(PlanningItemsList,16))</f>
        <v>Karpet Dasar</v>
      </c>
      <c r="C377" s="7"/>
      <c r="D377" s="7"/>
    </row>
    <row r="378" customFormat="false" ht="15" hidden="false" customHeight="false" outlineLevel="0" collapsed="false">
      <c r="A378" s="6" t="str">
        <f aca="false">IF('DATA UNIT'!$B20="","",'DATA UNIT'!$B20)</f>
        <v>B 1984 EJA</v>
      </c>
      <c r="B378" s="6" t="str">
        <f aca="false">IF($A378="","",INDEX(PlanningItemsList,17))</f>
        <v>Flushing Radiator</v>
      </c>
      <c r="C378" s="7"/>
      <c r="D378" s="7"/>
    </row>
    <row r="379" customFormat="false" ht="15" hidden="false" customHeight="false" outlineLevel="0" collapsed="false">
      <c r="A379" s="6" t="str">
        <f aca="false">IF('DATA UNIT'!$B20="","",'DATA UNIT'!$B20)</f>
        <v>B 1984 EJA</v>
      </c>
      <c r="B379" s="6" t="str">
        <f aca="false">IF($A379="","",INDEX(PlanningItemsList,18))</f>
        <v>Flushing Steering</v>
      </c>
      <c r="C379" s="7"/>
      <c r="D379" s="7"/>
    </row>
    <row r="380" customFormat="false" ht="15" hidden="false" customHeight="false" outlineLevel="0" collapsed="false">
      <c r="A380" s="6" t="str">
        <f aca="false">IF('DATA UNIT'!$B20="","",'DATA UNIT'!$B20)</f>
        <v>B 1984 EJA</v>
      </c>
      <c r="B380" s="6" t="str">
        <f aca="false">IF($A380="","",INDEX(PlanningItemsList,19))</f>
        <v>Flushing Injector</v>
      </c>
      <c r="C380" s="7"/>
      <c r="D380" s="7"/>
    </row>
    <row r="381" customFormat="false" ht="15" hidden="false" customHeight="false" outlineLevel="0" collapsed="false">
      <c r="A381" s="6" t="str">
        <f aca="false">IF('DATA UNIT'!$B20="","",'DATA UNIT'!$B20)</f>
        <v>B 1984 EJA</v>
      </c>
      <c r="B381" s="6" t="str">
        <f aca="false">IF($A381="","",INDEX(PlanningItemsList,20))</f>
        <v>Flushing Rem</v>
      </c>
      <c r="C381" s="7"/>
      <c r="D381" s="7"/>
    </row>
    <row r="382" customFormat="false" ht="15" hidden="false" customHeight="false" outlineLevel="0" collapsed="false">
      <c r="A382" s="6" t="str">
        <f aca="false">IF('DATA UNIT'!$B21="","",'DATA UNIT'!$B21)</f>
        <v>B 1327 EOH</v>
      </c>
      <c r="B382" s="6" t="str">
        <f aca="false">IF($A382="","",INDEX(PlanningItemsList,1))</f>
        <v>PM Check / Reguler Services</v>
      </c>
      <c r="C382" s="7"/>
      <c r="D382" s="7"/>
    </row>
    <row r="383" customFormat="false" ht="15" hidden="false" customHeight="false" outlineLevel="0" collapsed="false">
      <c r="A383" s="6" t="str">
        <f aca="false">IF('DATA UNIT'!$B21="","",'DATA UNIT'!$B21)</f>
        <v>B 1327 EOH</v>
      </c>
      <c r="B383" s="6" t="str">
        <f aca="false">IF($A383="","",INDEX(PlanningItemsList,2))</f>
        <v>Service A</v>
      </c>
      <c r="C383" s="7"/>
      <c r="D383" s="7"/>
    </row>
    <row r="384" customFormat="false" ht="15" hidden="false" customHeight="false" outlineLevel="0" collapsed="false">
      <c r="A384" s="6" t="str">
        <f aca="false">IF('DATA UNIT'!$B21="","",'DATA UNIT'!$B21)</f>
        <v>B 1327 EOH</v>
      </c>
      <c r="B384" s="6" t="str">
        <f aca="false">IF($A384="","",INDEX(PlanningItemsList,3))</f>
        <v>Service B</v>
      </c>
      <c r="C384" s="7"/>
      <c r="D384" s="7"/>
    </row>
    <row r="385" customFormat="false" ht="15" hidden="false" customHeight="false" outlineLevel="0" collapsed="false">
      <c r="A385" s="6" t="str">
        <f aca="false">IF('DATA UNIT'!$B21="","",'DATA UNIT'!$B21)</f>
        <v>B 1327 EOH</v>
      </c>
      <c r="B385" s="6" t="str">
        <f aca="false">IF($A385="","",INDEX(PlanningItemsList,4))</f>
        <v>Brake Pad</v>
      </c>
      <c r="C385" s="7"/>
      <c r="D385" s="7"/>
    </row>
    <row r="386" customFormat="false" ht="15" hidden="false" customHeight="false" outlineLevel="0" collapsed="false">
      <c r="A386" s="6" t="str">
        <f aca="false">IF('DATA UNIT'!$B21="","",'DATA UNIT'!$B21)</f>
        <v>B 1327 EOH</v>
      </c>
      <c r="B386" s="6" t="str">
        <f aca="false">IF($A386="","",INDEX(PlanningItemsList,5))</f>
        <v>Brake Shoe</v>
      </c>
      <c r="C386" s="7"/>
      <c r="D386" s="7"/>
    </row>
    <row r="387" customFormat="false" ht="15" hidden="false" customHeight="false" outlineLevel="0" collapsed="false">
      <c r="A387" s="6" t="str">
        <f aca="false">IF('DATA UNIT'!$B21="","",'DATA UNIT'!$B21)</f>
        <v>B 1327 EOH</v>
      </c>
      <c r="B387" s="6" t="str">
        <f aca="false">IF($A387="","",INDEX(PlanningItemsList,6))</f>
        <v>Accu</v>
      </c>
      <c r="C387" s="7"/>
      <c r="D387" s="7"/>
    </row>
    <row r="388" customFormat="false" ht="15" hidden="false" customHeight="false" outlineLevel="0" collapsed="false">
      <c r="A388" s="6" t="str">
        <f aca="false">IF('DATA UNIT'!$B21="","",'DATA UNIT'!$B21)</f>
        <v>B 1327 EOH</v>
      </c>
      <c r="B388" s="6" t="str">
        <f aca="false">IF($A388="","",INDEX(PlanningItemsList,7))</f>
        <v>Kampas Kopling Set</v>
      </c>
      <c r="C388" s="7"/>
      <c r="D388" s="7"/>
    </row>
    <row r="389" customFormat="false" ht="15" hidden="false" customHeight="false" outlineLevel="0" collapsed="false">
      <c r="A389" s="6" t="str">
        <f aca="false">IF('DATA UNIT'!$B21="","",'DATA UNIT'!$B21)</f>
        <v>B 1327 EOH</v>
      </c>
      <c r="B389" s="6" t="str">
        <f aca="false">IF($A389="","",INDEX(PlanningItemsList,8))</f>
        <v>Wiper Blade</v>
      </c>
      <c r="C389" s="7"/>
      <c r="D389" s="7"/>
    </row>
    <row r="390" customFormat="false" ht="15" hidden="false" customHeight="false" outlineLevel="0" collapsed="false">
      <c r="A390" s="6" t="str">
        <f aca="false">IF('DATA UNIT'!$B21="","",'DATA UNIT'!$B21)</f>
        <v>B 1327 EOH</v>
      </c>
      <c r="B390" s="6" t="str">
        <f aca="false">IF($A390="","",INDEX(PlanningItemsList,9))</f>
        <v>Ban Depan</v>
      </c>
      <c r="C390" s="7"/>
      <c r="D390" s="7"/>
    </row>
    <row r="391" customFormat="false" ht="15" hidden="false" customHeight="false" outlineLevel="0" collapsed="false">
      <c r="A391" s="6" t="str">
        <f aca="false">IF('DATA UNIT'!$B21="","",'DATA UNIT'!$B21)</f>
        <v>B 1327 EOH</v>
      </c>
      <c r="B391" s="6" t="str">
        <f aca="false">IF($A391="","",INDEX(PlanningItemsList,10))</f>
        <v>Ban Belakang</v>
      </c>
      <c r="C391" s="7"/>
      <c r="D391" s="7"/>
    </row>
    <row r="392" customFormat="false" ht="15" hidden="false" customHeight="false" outlineLevel="0" collapsed="false">
      <c r="A392" s="6" t="str">
        <f aca="false">IF('DATA UNIT'!$B21="","",'DATA UNIT'!$B21)</f>
        <v>B 1327 EOH</v>
      </c>
      <c r="B392" s="6" t="str">
        <f aca="false">IF($A392="","",INDEX(PlanningItemsList,11))</f>
        <v>Ban Serep</v>
      </c>
      <c r="C392" s="7"/>
      <c r="D392" s="7"/>
    </row>
    <row r="393" customFormat="false" ht="15" hidden="false" customHeight="false" outlineLevel="0" collapsed="false">
      <c r="A393" s="6" t="str">
        <f aca="false">IF('DATA UNIT'!$B21="","",'DATA UNIT'!$B21)</f>
        <v>B 1327 EOH</v>
      </c>
      <c r="B393" s="6" t="str">
        <f aca="false">IF($A393="","",INDEX(PlanningItemsList,12))</f>
        <v>Greasing</v>
      </c>
      <c r="C393" s="7"/>
      <c r="D393" s="7"/>
    </row>
    <row r="394" customFormat="false" ht="15" hidden="false" customHeight="false" outlineLevel="0" collapsed="false">
      <c r="A394" s="6" t="str">
        <f aca="false">IF('DATA UNIT'!$B21="","",'DATA UNIT'!$B21)</f>
        <v>B 1327 EOH</v>
      </c>
      <c r="B394" s="6" t="str">
        <f aca="false">IF($A394="","",INDEX(PlanningItemsList,13))</f>
        <v>V-Belt</v>
      </c>
      <c r="C394" s="7"/>
      <c r="D394" s="7"/>
    </row>
    <row r="395" customFormat="false" ht="15" hidden="false" customHeight="false" outlineLevel="0" collapsed="false">
      <c r="A395" s="6" t="str">
        <f aca="false">IF('DATA UNIT'!$B21="","",'DATA UNIT'!$B21)</f>
        <v>B 1327 EOH</v>
      </c>
      <c r="B395" s="6" t="str">
        <f aca="false">IF($A395="","",INDEX(PlanningItemsList,14))</f>
        <v>Sarung Jok</v>
      </c>
      <c r="C395" s="7"/>
      <c r="D395" s="7"/>
    </row>
    <row r="396" customFormat="false" ht="15" hidden="false" customHeight="false" outlineLevel="0" collapsed="false">
      <c r="A396" s="6" t="str">
        <f aca="false">IF('DATA UNIT'!$B21="","",'DATA UNIT'!$B21)</f>
        <v>B 1327 EOH</v>
      </c>
      <c r="B396" s="6" t="str">
        <f aca="false">IF($A396="","",INDEX(PlanningItemsList,15))</f>
        <v>Karpet Karet</v>
      </c>
      <c r="C396" s="7"/>
      <c r="D396" s="7"/>
    </row>
    <row r="397" customFormat="false" ht="15" hidden="false" customHeight="false" outlineLevel="0" collapsed="false">
      <c r="A397" s="6" t="str">
        <f aca="false">IF('DATA UNIT'!$B21="","",'DATA UNIT'!$B21)</f>
        <v>B 1327 EOH</v>
      </c>
      <c r="B397" s="6" t="str">
        <f aca="false">IF($A397="","",INDEX(PlanningItemsList,16))</f>
        <v>Karpet Dasar</v>
      </c>
      <c r="C397" s="7"/>
      <c r="D397" s="7"/>
    </row>
    <row r="398" customFormat="false" ht="15" hidden="false" customHeight="false" outlineLevel="0" collapsed="false">
      <c r="A398" s="6" t="str">
        <f aca="false">IF('DATA UNIT'!$B21="","",'DATA UNIT'!$B21)</f>
        <v>B 1327 EOH</v>
      </c>
      <c r="B398" s="6" t="str">
        <f aca="false">IF($A398="","",INDEX(PlanningItemsList,17))</f>
        <v>Flushing Radiator</v>
      </c>
      <c r="C398" s="7"/>
      <c r="D398" s="7"/>
    </row>
    <row r="399" customFormat="false" ht="15" hidden="false" customHeight="false" outlineLevel="0" collapsed="false">
      <c r="A399" s="6" t="str">
        <f aca="false">IF('DATA UNIT'!$B21="","",'DATA UNIT'!$B21)</f>
        <v>B 1327 EOH</v>
      </c>
      <c r="B399" s="6" t="str">
        <f aca="false">IF($A399="","",INDEX(PlanningItemsList,18))</f>
        <v>Flushing Steering</v>
      </c>
      <c r="C399" s="7"/>
      <c r="D399" s="7"/>
    </row>
    <row r="400" customFormat="false" ht="15" hidden="false" customHeight="false" outlineLevel="0" collapsed="false">
      <c r="A400" s="6" t="str">
        <f aca="false">IF('DATA UNIT'!$B21="","",'DATA UNIT'!$B21)</f>
        <v>B 1327 EOH</v>
      </c>
      <c r="B400" s="6" t="str">
        <f aca="false">IF($A400="","",INDEX(PlanningItemsList,19))</f>
        <v>Flushing Injector</v>
      </c>
      <c r="C400" s="7"/>
      <c r="D400" s="7"/>
    </row>
    <row r="401" customFormat="false" ht="15" hidden="false" customHeight="false" outlineLevel="0" collapsed="false">
      <c r="A401" s="6" t="str">
        <f aca="false">IF('DATA UNIT'!$B21="","",'DATA UNIT'!$B21)</f>
        <v>B 1327 EOH</v>
      </c>
      <c r="B401" s="6" t="str">
        <f aca="false">IF($A401="","",INDEX(PlanningItemsList,20))</f>
        <v>Flushing Rem</v>
      </c>
      <c r="C401" s="7"/>
      <c r="D401" s="7"/>
    </row>
    <row r="402" customFormat="false" ht="15" hidden="false" customHeight="false" outlineLevel="0" collapsed="false">
      <c r="A402" s="6" t="str">
        <f aca="false">IF('DATA UNIT'!$B22="","",'DATA UNIT'!$B22)</f>
        <v>KT 7564 KA</v>
      </c>
      <c r="B402" s="6" t="str">
        <f aca="false">IF($A402="","",INDEX(PlanningItemsList,1))</f>
        <v>PM Check / Reguler Services</v>
      </c>
      <c r="C402" s="7"/>
      <c r="D402" s="7"/>
    </row>
    <row r="403" customFormat="false" ht="15" hidden="false" customHeight="false" outlineLevel="0" collapsed="false">
      <c r="A403" s="6" t="str">
        <f aca="false">IF('DATA UNIT'!$B22="","",'DATA UNIT'!$B22)</f>
        <v>KT 7564 KA</v>
      </c>
      <c r="B403" s="6" t="str">
        <f aca="false">IF($A403="","",INDEX(PlanningItemsList,2))</f>
        <v>Service A</v>
      </c>
      <c r="C403" s="7"/>
      <c r="D403" s="7"/>
    </row>
    <row r="404" customFormat="false" ht="15" hidden="false" customHeight="false" outlineLevel="0" collapsed="false">
      <c r="A404" s="6" t="str">
        <f aca="false">IF('DATA UNIT'!$B22="","",'DATA UNIT'!$B22)</f>
        <v>KT 7564 KA</v>
      </c>
      <c r="B404" s="6" t="str">
        <f aca="false">IF($A404="","",INDEX(PlanningItemsList,3))</f>
        <v>Service B</v>
      </c>
      <c r="C404" s="7"/>
      <c r="D404" s="7"/>
    </row>
    <row r="405" customFormat="false" ht="15" hidden="false" customHeight="false" outlineLevel="0" collapsed="false">
      <c r="A405" s="6" t="str">
        <f aca="false">IF('DATA UNIT'!$B22="","",'DATA UNIT'!$B22)</f>
        <v>KT 7564 KA</v>
      </c>
      <c r="B405" s="6" t="str">
        <f aca="false">IF($A405="","",INDEX(PlanningItemsList,4))</f>
        <v>Brake Pad</v>
      </c>
      <c r="C405" s="7"/>
      <c r="D405" s="7"/>
    </row>
    <row r="406" customFormat="false" ht="15" hidden="false" customHeight="false" outlineLevel="0" collapsed="false">
      <c r="A406" s="6" t="str">
        <f aca="false">IF('DATA UNIT'!$B22="","",'DATA UNIT'!$B22)</f>
        <v>KT 7564 KA</v>
      </c>
      <c r="B406" s="6" t="str">
        <f aca="false">IF($A406="","",INDEX(PlanningItemsList,5))</f>
        <v>Brake Shoe</v>
      </c>
      <c r="C406" s="7"/>
      <c r="D406" s="7"/>
    </row>
    <row r="407" customFormat="false" ht="15" hidden="false" customHeight="false" outlineLevel="0" collapsed="false">
      <c r="A407" s="6" t="str">
        <f aca="false">IF('DATA UNIT'!$B22="","",'DATA UNIT'!$B22)</f>
        <v>KT 7564 KA</v>
      </c>
      <c r="B407" s="6" t="str">
        <f aca="false">IF($A407="","",INDEX(PlanningItemsList,6))</f>
        <v>Accu</v>
      </c>
      <c r="C407" s="7"/>
      <c r="D407" s="7"/>
    </row>
    <row r="408" customFormat="false" ht="15" hidden="false" customHeight="false" outlineLevel="0" collapsed="false">
      <c r="A408" s="6" t="str">
        <f aca="false">IF('DATA UNIT'!$B22="","",'DATA UNIT'!$B22)</f>
        <v>KT 7564 KA</v>
      </c>
      <c r="B408" s="6" t="str">
        <f aca="false">IF($A408="","",INDEX(PlanningItemsList,7))</f>
        <v>Kampas Kopling Set</v>
      </c>
      <c r="C408" s="7"/>
      <c r="D408" s="7"/>
    </row>
    <row r="409" customFormat="false" ht="15" hidden="false" customHeight="false" outlineLevel="0" collapsed="false">
      <c r="A409" s="6" t="str">
        <f aca="false">IF('DATA UNIT'!$B22="","",'DATA UNIT'!$B22)</f>
        <v>KT 7564 KA</v>
      </c>
      <c r="B409" s="6" t="str">
        <f aca="false">IF($A409="","",INDEX(PlanningItemsList,8))</f>
        <v>Wiper Blade</v>
      </c>
      <c r="C409" s="7"/>
      <c r="D409" s="7"/>
    </row>
    <row r="410" customFormat="false" ht="15" hidden="false" customHeight="false" outlineLevel="0" collapsed="false">
      <c r="A410" s="6" t="str">
        <f aca="false">IF('DATA UNIT'!$B22="","",'DATA UNIT'!$B22)</f>
        <v>KT 7564 KA</v>
      </c>
      <c r="B410" s="6" t="str">
        <f aca="false">IF($A410="","",INDEX(PlanningItemsList,9))</f>
        <v>Ban Depan</v>
      </c>
      <c r="C410" s="7"/>
      <c r="D410" s="7"/>
    </row>
    <row r="411" customFormat="false" ht="15" hidden="false" customHeight="false" outlineLevel="0" collapsed="false">
      <c r="A411" s="6" t="str">
        <f aca="false">IF('DATA UNIT'!$B22="","",'DATA UNIT'!$B22)</f>
        <v>KT 7564 KA</v>
      </c>
      <c r="B411" s="6" t="str">
        <f aca="false">IF($A411="","",INDEX(PlanningItemsList,10))</f>
        <v>Ban Belakang</v>
      </c>
      <c r="C411" s="7"/>
      <c r="D411" s="7"/>
    </row>
    <row r="412" customFormat="false" ht="15" hidden="false" customHeight="false" outlineLevel="0" collapsed="false">
      <c r="A412" s="6" t="str">
        <f aca="false">IF('DATA UNIT'!$B22="","",'DATA UNIT'!$B22)</f>
        <v>KT 7564 KA</v>
      </c>
      <c r="B412" s="6" t="str">
        <f aca="false">IF($A412="","",INDEX(PlanningItemsList,11))</f>
        <v>Ban Serep</v>
      </c>
      <c r="C412" s="7"/>
      <c r="D412" s="7"/>
    </row>
    <row r="413" customFormat="false" ht="15" hidden="false" customHeight="false" outlineLevel="0" collapsed="false">
      <c r="A413" s="6" t="str">
        <f aca="false">IF('DATA UNIT'!$B22="","",'DATA UNIT'!$B22)</f>
        <v>KT 7564 KA</v>
      </c>
      <c r="B413" s="6" t="str">
        <f aca="false">IF($A413="","",INDEX(PlanningItemsList,12))</f>
        <v>Greasing</v>
      </c>
      <c r="C413" s="7"/>
      <c r="D413" s="7"/>
    </row>
    <row r="414" customFormat="false" ht="15" hidden="false" customHeight="false" outlineLevel="0" collapsed="false">
      <c r="A414" s="6" t="str">
        <f aca="false">IF('DATA UNIT'!$B22="","",'DATA UNIT'!$B22)</f>
        <v>KT 7564 KA</v>
      </c>
      <c r="B414" s="6" t="str">
        <f aca="false">IF($A414="","",INDEX(PlanningItemsList,13))</f>
        <v>V-Belt</v>
      </c>
      <c r="C414" s="7"/>
      <c r="D414" s="7"/>
    </row>
    <row r="415" customFormat="false" ht="15" hidden="false" customHeight="false" outlineLevel="0" collapsed="false">
      <c r="A415" s="6" t="str">
        <f aca="false">IF('DATA UNIT'!$B22="","",'DATA UNIT'!$B22)</f>
        <v>KT 7564 KA</v>
      </c>
      <c r="B415" s="6" t="str">
        <f aca="false">IF($A415="","",INDEX(PlanningItemsList,14))</f>
        <v>Sarung Jok</v>
      </c>
      <c r="C415" s="7"/>
      <c r="D415" s="7"/>
    </row>
    <row r="416" customFormat="false" ht="15" hidden="false" customHeight="false" outlineLevel="0" collapsed="false">
      <c r="A416" s="6" t="str">
        <f aca="false">IF('DATA UNIT'!$B22="","",'DATA UNIT'!$B22)</f>
        <v>KT 7564 KA</v>
      </c>
      <c r="B416" s="6" t="str">
        <f aca="false">IF($A416="","",INDEX(PlanningItemsList,15))</f>
        <v>Karpet Karet</v>
      </c>
      <c r="C416" s="7"/>
      <c r="D416" s="7"/>
    </row>
    <row r="417" customFormat="false" ht="15" hidden="false" customHeight="false" outlineLevel="0" collapsed="false">
      <c r="A417" s="6" t="str">
        <f aca="false">IF('DATA UNIT'!$B22="","",'DATA UNIT'!$B22)</f>
        <v>KT 7564 KA</v>
      </c>
      <c r="B417" s="6" t="str">
        <f aca="false">IF($A417="","",INDEX(PlanningItemsList,16))</f>
        <v>Karpet Dasar</v>
      </c>
      <c r="C417" s="7"/>
      <c r="D417" s="7"/>
    </row>
    <row r="418" customFormat="false" ht="15" hidden="false" customHeight="false" outlineLevel="0" collapsed="false">
      <c r="A418" s="6" t="str">
        <f aca="false">IF('DATA UNIT'!$B22="","",'DATA UNIT'!$B22)</f>
        <v>KT 7564 KA</v>
      </c>
      <c r="B418" s="6" t="str">
        <f aca="false">IF($A418="","",INDEX(PlanningItemsList,17))</f>
        <v>Flushing Radiator</v>
      </c>
      <c r="C418" s="7"/>
      <c r="D418" s="7"/>
    </row>
    <row r="419" customFormat="false" ht="15" hidden="false" customHeight="false" outlineLevel="0" collapsed="false">
      <c r="A419" s="6" t="str">
        <f aca="false">IF('DATA UNIT'!$B22="","",'DATA UNIT'!$B22)</f>
        <v>KT 7564 KA</v>
      </c>
      <c r="B419" s="6" t="str">
        <f aca="false">IF($A419="","",INDEX(PlanningItemsList,18))</f>
        <v>Flushing Steering</v>
      </c>
      <c r="C419" s="7"/>
      <c r="D419" s="7"/>
    </row>
    <row r="420" customFormat="false" ht="15" hidden="false" customHeight="false" outlineLevel="0" collapsed="false">
      <c r="A420" s="6" t="str">
        <f aca="false">IF('DATA UNIT'!$B22="","",'DATA UNIT'!$B22)</f>
        <v>KT 7564 KA</v>
      </c>
      <c r="B420" s="6" t="str">
        <f aca="false">IF($A420="","",INDEX(PlanningItemsList,19))</f>
        <v>Flushing Injector</v>
      </c>
      <c r="C420" s="7"/>
      <c r="D420" s="7"/>
    </row>
    <row r="421" customFormat="false" ht="15" hidden="false" customHeight="false" outlineLevel="0" collapsed="false">
      <c r="A421" s="6" t="str">
        <f aca="false">IF('DATA UNIT'!$B22="","",'DATA UNIT'!$B22)</f>
        <v>KT 7564 KA</v>
      </c>
      <c r="B421" s="6" t="str">
        <f aca="false">IF($A421="","",INDEX(PlanningItemsList,20))</f>
        <v>Flushing Rem</v>
      </c>
      <c r="C421" s="7"/>
      <c r="D421" s="7"/>
    </row>
    <row r="422" customFormat="false" ht="15" hidden="false" customHeight="false" outlineLevel="0" collapsed="false">
      <c r="A422" s="6" t="str">
        <f aca="false">IF('DATA UNIT'!$B23="","",'DATA UNIT'!$B23)</f>
        <v>KT 8154 YH</v>
      </c>
      <c r="B422" s="6" t="str">
        <f aca="false">IF($A422="","",INDEX(PlanningItemsList,1))</f>
        <v>PM Check / Reguler Services</v>
      </c>
      <c r="C422" s="7"/>
      <c r="D422" s="7"/>
    </row>
    <row r="423" customFormat="false" ht="15" hidden="false" customHeight="false" outlineLevel="0" collapsed="false">
      <c r="A423" s="6" t="str">
        <f aca="false">IF('DATA UNIT'!$B23="","",'DATA UNIT'!$B23)</f>
        <v>KT 8154 YH</v>
      </c>
      <c r="B423" s="6" t="str">
        <f aca="false">IF($A423="","",INDEX(PlanningItemsList,2))</f>
        <v>Service A</v>
      </c>
      <c r="C423" s="7"/>
      <c r="D423" s="7"/>
    </row>
    <row r="424" customFormat="false" ht="15" hidden="false" customHeight="false" outlineLevel="0" collapsed="false">
      <c r="A424" s="6" t="str">
        <f aca="false">IF('DATA UNIT'!$B23="","",'DATA UNIT'!$B23)</f>
        <v>KT 8154 YH</v>
      </c>
      <c r="B424" s="6" t="str">
        <f aca="false">IF($A424="","",INDEX(PlanningItemsList,3))</f>
        <v>Service B</v>
      </c>
      <c r="C424" s="7"/>
      <c r="D424" s="7"/>
    </row>
    <row r="425" customFormat="false" ht="15" hidden="false" customHeight="false" outlineLevel="0" collapsed="false">
      <c r="A425" s="6" t="str">
        <f aca="false">IF('DATA UNIT'!$B23="","",'DATA UNIT'!$B23)</f>
        <v>KT 8154 YH</v>
      </c>
      <c r="B425" s="6" t="str">
        <f aca="false">IF($A425="","",INDEX(PlanningItemsList,4))</f>
        <v>Brake Pad</v>
      </c>
      <c r="C425" s="7"/>
      <c r="D425" s="7"/>
    </row>
    <row r="426" customFormat="false" ht="15" hidden="false" customHeight="false" outlineLevel="0" collapsed="false">
      <c r="A426" s="6" t="str">
        <f aca="false">IF('DATA UNIT'!$B23="","",'DATA UNIT'!$B23)</f>
        <v>KT 8154 YH</v>
      </c>
      <c r="B426" s="6" t="str">
        <f aca="false">IF($A426="","",INDEX(PlanningItemsList,5))</f>
        <v>Brake Shoe</v>
      </c>
      <c r="C426" s="7"/>
      <c r="D426" s="7"/>
    </row>
    <row r="427" customFormat="false" ht="15" hidden="false" customHeight="false" outlineLevel="0" collapsed="false">
      <c r="A427" s="6" t="str">
        <f aca="false">IF('DATA UNIT'!$B23="","",'DATA UNIT'!$B23)</f>
        <v>KT 8154 YH</v>
      </c>
      <c r="B427" s="6" t="str">
        <f aca="false">IF($A427="","",INDEX(PlanningItemsList,6))</f>
        <v>Accu</v>
      </c>
      <c r="C427" s="7"/>
      <c r="D427" s="7"/>
    </row>
    <row r="428" customFormat="false" ht="15" hidden="false" customHeight="false" outlineLevel="0" collapsed="false">
      <c r="A428" s="6" t="str">
        <f aca="false">IF('DATA UNIT'!$B23="","",'DATA UNIT'!$B23)</f>
        <v>KT 8154 YH</v>
      </c>
      <c r="B428" s="6" t="str">
        <f aca="false">IF($A428="","",INDEX(PlanningItemsList,7))</f>
        <v>Kampas Kopling Set</v>
      </c>
      <c r="C428" s="7"/>
      <c r="D428" s="7"/>
    </row>
    <row r="429" customFormat="false" ht="15" hidden="false" customHeight="false" outlineLevel="0" collapsed="false">
      <c r="A429" s="6" t="str">
        <f aca="false">IF('DATA UNIT'!$B23="","",'DATA UNIT'!$B23)</f>
        <v>KT 8154 YH</v>
      </c>
      <c r="B429" s="6" t="str">
        <f aca="false">IF($A429="","",INDEX(PlanningItemsList,8))</f>
        <v>Wiper Blade</v>
      </c>
      <c r="C429" s="7"/>
      <c r="D429" s="7"/>
    </row>
    <row r="430" customFormat="false" ht="15" hidden="false" customHeight="false" outlineLevel="0" collapsed="false">
      <c r="A430" s="6" t="str">
        <f aca="false">IF('DATA UNIT'!$B23="","",'DATA UNIT'!$B23)</f>
        <v>KT 8154 YH</v>
      </c>
      <c r="B430" s="6" t="str">
        <f aca="false">IF($A430="","",INDEX(PlanningItemsList,9))</f>
        <v>Ban Depan</v>
      </c>
      <c r="C430" s="7"/>
      <c r="D430" s="7"/>
    </row>
    <row r="431" customFormat="false" ht="15" hidden="false" customHeight="false" outlineLevel="0" collapsed="false">
      <c r="A431" s="6" t="str">
        <f aca="false">IF('DATA UNIT'!$B23="","",'DATA UNIT'!$B23)</f>
        <v>KT 8154 YH</v>
      </c>
      <c r="B431" s="6" t="str">
        <f aca="false">IF($A431="","",INDEX(PlanningItemsList,10))</f>
        <v>Ban Belakang</v>
      </c>
      <c r="C431" s="7"/>
      <c r="D431" s="7"/>
    </row>
    <row r="432" customFormat="false" ht="15" hidden="false" customHeight="false" outlineLevel="0" collapsed="false">
      <c r="A432" s="6" t="str">
        <f aca="false">IF('DATA UNIT'!$B23="","",'DATA UNIT'!$B23)</f>
        <v>KT 8154 YH</v>
      </c>
      <c r="B432" s="6" t="str">
        <f aca="false">IF($A432="","",INDEX(PlanningItemsList,11))</f>
        <v>Ban Serep</v>
      </c>
      <c r="C432" s="7"/>
      <c r="D432" s="7"/>
    </row>
    <row r="433" customFormat="false" ht="15" hidden="false" customHeight="false" outlineLevel="0" collapsed="false">
      <c r="A433" s="6" t="str">
        <f aca="false">IF('DATA UNIT'!$B23="","",'DATA UNIT'!$B23)</f>
        <v>KT 8154 YH</v>
      </c>
      <c r="B433" s="6" t="str">
        <f aca="false">IF($A433="","",INDEX(PlanningItemsList,12))</f>
        <v>Greasing</v>
      </c>
      <c r="C433" s="7"/>
      <c r="D433" s="7"/>
    </row>
    <row r="434" customFormat="false" ht="15" hidden="false" customHeight="false" outlineLevel="0" collapsed="false">
      <c r="A434" s="6" t="str">
        <f aca="false">IF('DATA UNIT'!$B23="","",'DATA UNIT'!$B23)</f>
        <v>KT 8154 YH</v>
      </c>
      <c r="B434" s="6" t="str">
        <f aca="false">IF($A434="","",INDEX(PlanningItemsList,13))</f>
        <v>V-Belt</v>
      </c>
      <c r="C434" s="7"/>
      <c r="D434" s="7"/>
    </row>
    <row r="435" customFormat="false" ht="15" hidden="false" customHeight="false" outlineLevel="0" collapsed="false">
      <c r="A435" s="6" t="str">
        <f aca="false">IF('DATA UNIT'!$B23="","",'DATA UNIT'!$B23)</f>
        <v>KT 8154 YH</v>
      </c>
      <c r="B435" s="6" t="str">
        <f aca="false">IF($A435="","",INDEX(PlanningItemsList,14))</f>
        <v>Sarung Jok</v>
      </c>
      <c r="C435" s="7"/>
      <c r="D435" s="7"/>
    </row>
    <row r="436" customFormat="false" ht="15" hidden="false" customHeight="false" outlineLevel="0" collapsed="false">
      <c r="A436" s="6" t="str">
        <f aca="false">IF('DATA UNIT'!$B23="","",'DATA UNIT'!$B23)</f>
        <v>KT 8154 YH</v>
      </c>
      <c r="B436" s="6" t="str">
        <f aca="false">IF($A436="","",INDEX(PlanningItemsList,15))</f>
        <v>Karpet Karet</v>
      </c>
      <c r="C436" s="7"/>
      <c r="D436" s="7"/>
    </row>
    <row r="437" customFormat="false" ht="15" hidden="false" customHeight="false" outlineLevel="0" collapsed="false">
      <c r="A437" s="6" t="str">
        <f aca="false">IF('DATA UNIT'!$B23="","",'DATA UNIT'!$B23)</f>
        <v>KT 8154 YH</v>
      </c>
      <c r="B437" s="6" t="str">
        <f aca="false">IF($A437="","",INDEX(PlanningItemsList,16))</f>
        <v>Karpet Dasar</v>
      </c>
      <c r="C437" s="7"/>
      <c r="D437" s="7"/>
    </row>
    <row r="438" customFormat="false" ht="15" hidden="false" customHeight="false" outlineLevel="0" collapsed="false">
      <c r="A438" s="6" t="str">
        <f aca="false">IF('DATA UNIT'!$B23="","",'DATA UNIT'!$B23)</f>
        <v>KT 8154 YH</v>
      </c>
      <c r="B438" s="6" t="str">
        <f aca="false">IF($A438="","",INDEX(PlanningItemsList,17))</f>
        <v>Flushing Radiator</v>
      </c>
      <c r="C438" s="7"/>
      <c r="D438" s="7"/>
    </row>
    <row r="439" customFormat="false" ht="15" hidden="false" customHeight="false" outlineLevel="0" collapsed="false">
      <c r="A439" s="6" t="str">
        <f aca="false">IF('DATA UNIT'!$B23="","",'DATA UNIT'!$B23)</f>
        <v>KT 8154 YH</v>
      </c>
      <c r="B439" s="6" t="str">
        <f aca="false">IF($A439="","",INDEX(PlanningItemsList,18))</f>
        <v>Flushing Steering</v>
      </c>
      <c r="C439" s="7"/>
      <c r="D439" s="7"/>
    </row>
    <row r="440" customFormat="false" ht="15" hidden="false" customHeight="false" outlineLevel="0" collapsed="false">
      <c r="A440" s="6" t="str">
        <f aca="false">IF('DATA UNIT'!$B23="","",'DATA UNIT'!$B23)</f>
        <v>KT 8154 YH</v>
      </c>
      <c r="B440" s="6" t="str">
        <f aca="false">IF($A440="","",INDEX(PlanningItemsList,19))</f>
        <v>Flushing Injector</v>
      </c>
      <c r="C440" s="7"/>
      <c r="D440" s="7"/>
    </row>
    <row r="441" customFormat="false" ht="15" hidden="false" customHeight="false" outlineLevel="0" collapsed="false">
      <c r="A441" s="6" t="str">
        <f aca="false">IF('DATA UNIT'!$B23="","",'DATA UNIT'!$B23)</f>
        <v>KT 8154 YH</v>
      </c>
      <c r="B441" s="6" t="str">
        <f aca="false">IF($A441="","",INDEX(PlanningItemsList,20))</f>
        <v>Flushing Rem</v>
      </c>
      <c r="C441" s="7"/>
      <c r="D441" s="7"/>
    </row>
    <row r="442" customFormat="false" ht="15" hidden="false" customHeight="false" outlineLevel="0" collapsed="false">
      <c r="A442" s="6" t="str">
        <f aca="false">IF('DATA UNIT'!$B24="","",'DATA UNIT'!$B24)</f>
        <v>KT 8836 YQ</v>
      </c>
      <c r="B442" s="6" t="str">
        <f aca="false">IF($A442="","",INDEX(PlanningItemsList,1))</f>
        <v>PM Check / Reguler Services</v>
      </c>
      <c r="C442" s="7"/>
      <c r="D442" s="7"/>
    </row>
    <row r="443" customFormat="false" ht="15" hidden="false" customHeight="false" outlineLevel="0" collapsed="false">
      <c r="A443" s="6" t="str">
        <f aca="false">IF('DATA UNIT'!$B24="","",'DATA UNIT'!$B24)</f>
        <v>KT 8836 YQ</v>
      </c>
      <c r="B443" s="6" t="str">
        <f aca="false">IF($A443="","",INDEX(PlanningItemsList,2))</f>
        <v>Service A</v>
      </c>
      <c r="C443" s="7"/>
      <c r="D443" s="7"/>
    </row>
    <row r="444" customFormat="false" ht="15" hidden="false" customHeight="false" outlineLevel="0" collapsed="false">
      <c r="A444" s="6" t="str">
        <f aca="false">IF('DATA UNIT'!$B24="","",'DATA UNIT'!$B24)</f>
        <v>KT 8836 YQ</v>
      </c>
      <c r="B444" s="6" t="str">
        <f aca="false">IF($A444="","",INDEX(PlanningItemsList,3))</f>
        <v>Service B</v>
      </c>
      <c r="C444" s="7"/>
      <c r="D444" s="7"/>
    </row>
    <row r="445" customFormat="false" ht="15" hidden="false" customHeight="false" outlineLevel="0" collapsed="false">
      <c r="A445" s="6" t="str">
        <f aca="false">IF('DATA UNIT'!$B24="","",'DATA UNIT'!$B24)</f>
        <v>KT 8836 YQ</v>
      </c>
      <c r="B445" s="6" t="str">
        <f aca="false">IF($A445="","",INDEX(PlanningItemsList,4))</f>
        <v>Brake Pad</v>
      </c>
      <c r="C445" s="7"/>
      <c r="D445" s="7"/>
    </row>
    <row r="446" customFormat="false" ht="15" hidden="false" customHeight="false" outlineLevel="0" collapsed="false">
      <c r="A446" s="6" t="str">
        <f aca="false">IF('DATA UNIT'!$B24="","",'DATA UNIT'!$B24)</f>
        <v>KT 8836 YQ</v>
      </c>
      <c r="B446" s="6" t="str">
        <f aca="false">IF($A446="","",INDEX(PlanningItemsList,5))</f>
        <v>Brake Shoe</v>
      </c>
      <c r="C446" s="7"/>
      <c r="D446" s="7"/>
    </row>
    <row r="447" customFormat="false" ht="15" hidden="false" customHeight="false" outlineLevel="0" collapsed="false">
      <c r="A447" s="6" t="str">
        <f aca="false">IF('DATA UNIT'!$B24="","",'DATA UNIT'!$B24)</f>
        <v>KT 8836 YQ</v>
      </c>
      <c r="B447" s="6" t="str">
        <f aca="false">IF($A447="","",INDEX(PlanningItemsList,6))</f>
        <v>Accu</v>
      </c>
      <c r="C447" s="7"/>
      <c r="D447" s="7"/>
    </row>
    <row r="448" customFormat="false" ht="15" hidden="false" customHeight="false" outlineLevel="0" collapsed="false">
      <c r="A448" s="6" t="str">
        <f aca="false">IF('DATA UNIT'!$B24="","",'DATA UNIT'!$B24)</f>
        <v>KT 8836 YQ</v>
      </c>
      <c r="B448" s="6" t="str">
        <f aca="false">IF($A448="","",INDEX(PlanningItemsList,7))</f>
        <v>Kampas Kopling Set</v>
      </c>
      <c r="C448" s="7"/>
      <c r="D448" s="7"/>
    </row>
    <row r="449" customFormat="false" ht="15" hidden="false" customHeight="false" outlineLevel="0" collapsed="false">
      <c r="A449" s="6" t="str">
        <f aca="false">IF('DATA UNIT'!$B24="","",'DATA UNIT'!$B24)</f>
        <v>KT 8836 YQ</v>
      </c>
      <c r="B449" s="6" t="str">
        <f aca="false">IF($A449="","",INDEX(PlanningItemsList,8))</f>
        <v>Wiper Blade</v>
      </c>
      <c r="C449" s="7"/>
      <c r="D449" s="7"/>
    </row>
    <row r="450" customFormat="false" ht="15" hidden="false" customHeight="false" outlineLevel="0" collapsed="false">
      <c r="A450" s="6" t="str">
        <f aca="false">IF('DATA UNIT'!$B24="","",'DATA UNIT'!$B24)</f>
        <v>KT 8836 YQ</v>
      </c>
      <c r="B450" s="6" t="str">
        <f aca="false">IF($A450="","",INDEX(PlanningItemsList,9))</f>
        <v>Ban Depan</v>
      </c>
      <c r="C450" s="7"/>
      <c r="D450" s="7"/>
    </row>
    <row r="451" customFormat="false" ht="15" hidden="false" customHeight="false" outlineLevel="0" collapsed="false">
      <c r="A451" s="6" t="str">
        <f aca="false">IF('DATA UNIT'!$B24="","",'DATA UNIT'!$B24)</f>
        <v>KT 8836 YQ</v>
      </c>
      <c r="B451" s="6" t="str">
        <f aca="false">IF($A451="","",INDEX(PlanningItemsList,10))</f>
        <v>Ban Belakang</v>
      </c>
      <c r="C451" s="7"/>
      <c r="D451" s="7"/>
    </row>
    <row r="452" customFormat="false" ht="15" hidden="false" customHeight="false" outlineLevel="0" collapsed="false">
      <c r="A452" s="6" t="str">
        <f aca="false">IF('DATA UNIT'!$B24="","",'DATA UNIT'!$B24)</f>
        <v>KT 8836 YQ</v>
      </c>
      <c r="B452" s="6" t="str">
        <f aca="false">IF($A452="","",INDEX(PlanningItemsList,11))</f>
        <v>Ban Serep</v>
      </c>
      <c r="C452" s="7"/>
      <c r="D452" s="7"/>
    </row>
    <row r="453" customFormat="false" ht="15" hidden="false" customHeight="false" outlineLevel="0" collapsed="false">
      <c r="A453" s="6" t="str">
        <f aca="false">IF('DATA UNIT'!$B24="","",'DATA UNIT'!$B24)</f>
        <v>KT 8836 YQ</v>
      </c>
      <c r="B453" s="6" t="str">
        <f aca="false">IF($A453="","",INDEX(PlanningItemsList,12))</f>
        <v>Greasing</v>
      </c>
      <c r="C453" s="7"/>
      <c r="D453" s="7"/>
    </row>
    <row r="454" customFormat="false" ht="15" hidden="false" customHeight="false" outlineLevel="0" collapsed="false">
      <c r="A454" s="6" t="str">
        <f aca="false">IF('DATA UNIT'!$B24="","",'DATA UNIT'!$B24)</f>
        <v>KT 8836 YQ</v>
      </c>
      <c r="B454" s="6" t="str">
        <f aca="false">IF($A454="","",INDEX(PlanningItemsList,13))</f>
        <v>V-Belt</v>
      </c>
      <c r="C454" s="7"/>
      <c r="D454" s="7"/>
    </row>
    <row r="455" customFormat="false" ht="15" hidden="false" customHeight="false" outlineLevel="0" collapsed="false">
      <c r="A455" s="6" t="str">
        <f aca="false">IF('DATA UNIT'!$B24="","",'DATA UNIT'!$B24)</f>
        <v>KT 8836 YQ</v>
      </c>
      <c r="B455" s="6" t="str">
        <f aca="false">IF($A455="","",INDEX(PlanningItemsList,14))</f>
        <v>Sarung Jok</v>
      </c>
      <c r="C455" s="7"/>
      <c r="D455" s="7"/>
    </row>
    <row r="456" customFormat="false" ht="15" hidden="false" customHeight="false" outlineLevel="0" collapsed="false">
      <c r="A456" s="6" t="str">
        <f aca="false">IF('DATA UNIT'!$B24="","",'DATA UNIT'!$B24)</f>
        <v>KT 8836 YQ</v>
      </c>
      <c r="B456" s="6" t="str">
        <f aca="false">IF($A456="","",INDEX(PlanningItemsList,15))</f>
        <v>Karpet Karet</v>
      </c>
      <c r="C456" s="7"/>
      <c r="D456" s="7"/>
    </row>
    <row r="457" customFormat="false" ht="15" hidden="false" customHeight="false" outlineLevel="0" collapsed="false">
      <c r="A457" s="6" t="str">
        <f aca="false">IF('DATA UNIT'!$B24="","",'DATA UNIT'!$B24)</f>
        <v>KT 8836 YQ</v>
      </c>
      <c r="B457" s="6" t="str">
        <f aca="false">IF($A457="","",INDEX(PlanningItemsList,16))</f>
        <v>Karpet Dasar</v>
      </c>
      <c r="C457" s="7"/>
      <c r="D457" s="7"/>
    </row>
    <row r="458" customFormat="false" ht="15" hidden="false" customHeight="false" outlineLevel="0" collapsed="false">
      <c r="A458" s="6" t="str">
        <f aca="false">IF('DATA UNIT'!$B24="","",'DATA UNIT'!$B24)</f>
        <v>KT 8836 YQ</v>
      </c>
      <c r="B458" s="6" t="str">
        <f aca="false">IF($A458="","",INDEX(PlanningItemsList,17))</f>
        <v>Flushing Radiator</v>
      </c>
      <c r="C458" s="7"/>
      <c r="D458" s="7"/>
    </row>
    <row r="459" customFormat="false" ht="15" hidden="false" customHeight="false" outlineLevel="0" collapsed="false">
      <c r="A459" s="6" t="str">
        <f aca="false">IF('DATA UNIT'!$B24="","",'DATA UNIT'!$B24)</f>
        <v>KT 8836 YQ</v>
      </c>
      <c r="B459" s="6" t="str">
        <f aca="false">IF($A459="","",INDEX(PlanningItemsList,18))</f>
        <v>Flushing Steering</v>
      </c>
      <c r="C459" s="7"/>
      <c r="D459" s="7"/>
    </row>
    <row r="460" customFormat="false" ht="15" hidden="false" customHeight="false" outlineLevel="0" collapsed="false">
      <c r="A460" s="6" t="str">
        <f aca="false">IF('DATA UNIT'!$B24="","",'DATA UNIT'!$B24)</f>
        <v>KT 8836 YQ</v>
      </c>
      <c r="B460" s="6" t="str">
        <f aca="false">IF($A460="","",INDEX(PlanningItemsList,19))</f>
        <v>Flushing Injector</v>
      </c>
      <c r="C460" s="7"/>
      <c r="D460" s="7"/>
    </row>
    <row r="461" customFormat="false" ht="15" hidden="false" customHeight="false" outlineLevel="0" collapsed="false">
      <c r="A461" s="6" t="str">
        <f aca="false">IF('DATA UNIT'!$B24="","",'DATA UNIT'!$B24)</f>
        <v>KT 8836 YQ</v>
      </c>
      <c r="B461" s="6" t="str">
        <f aca="false">IF($A461="","",INDEX(PlanningItemsList,20))</f>
        <v>Flushing Rem</v>
      </c>
      <c r="C461" s="7"/>
      <c r="D461" s="7"/>
    </row>
    <row r="462" customFormat="false" ht="15" hidden="false" customHeight="false" outlineLevel="0" collapsed="false">
      <c r="A462" s="6" t="str">
        <f aca="false">IF('DATA UNIT'!$B25="","",'DATA UNIT'!$B25)</f>
        <v>KT 1619 YI</v>
      </c>
      <c r="B462" s="6" t="str">
        <f aca="false">IF($A462="","",INDEX(PlanningItemsList,1))</f>
        <v>PM Check / Reguler Services</v>
      </c>
      <c r="C462" s="7"/>
      <c r="D462" s="7"/>
    </row>
    <row r="463" customFormat="false" ht="15" hidden="false" customHeight="false" outlineLevel="0" collapsed="false">
      <c r="A463" s="6" t="str">
        <f aca="false">IF('DATA UNIT'!$B25="","",'DATA UNIT'!$B25)</f>
        <v>KT 1619 YI</v>
      </c>
      <c r="B463" s="6" t="str">
        <f aca="false">IF($A463="","",INDEX(PlanningItemsList,2))</f>
        <v>Service A</v>
      </c>
      <c r="C463" s="7"/>
      <c r="D463" s="7"/>
    </row>
    <row r="464" customFormat="false" ht="15" hidden="false" customHeight="false" outlineLevel="0" collapsed="false">
      <c r="A464" s="6" t="str">
        <f aca="false">IF('DATA UNIT'!$B25="","",'DATA UNIT'!$B25)</f>
        <v>KT 1619 YI</v>
      </c>
      <c r="B464" s="6" t="str">
        <f aca="false">IF($A464="","",INDEX(PlanningItemsList,3))</f>
        <v>Service B</v>
      </c>
      <c r="C464" s="7"/>
      <c r="D464" s="7"/>
    </row>
    <row r="465" customFormat="false" ht="15" hidden="false" customHeight="false" outlineLevel="0" collapsed="false">
      <c r="A465" s="6" t="str">
        <f aca="false">IF('DATA UNIT'!$B25="","",'DATA UNIT'!$B25)</f>
        <v>KT 1619 YI</v>
      </c>
      <c r="B465" s="6" t="str">
        <f aca="false">IF($A465="","",INDEX(PlanningItemsList,4))</f>
        <v>Brake Pad</v>
      </c>
      <c r="C465" s="7"/>
      <c r="D465" s="7"/>
    </row>
    <row r="466" customFormat="false" ht="15" hidden="false" customHeight="false" outlineLevel="0" collapsed="false">
      <c r="A466" s="6" t="str">
        <f aca="false">IF('DATA UNIT'!$B25="","",'DATA UNIT'!$B25)</f>
        <v>KT 1619 YI</v>
      </c>
      <c r="B466" s="6" t="str">
        <f aca="false">IF($A466="","",INDEX(PlanningItemsList,5))</f>
        <v>Brake Shoe</v>
      </c>
      <c r="C466" s="7"/>
      <c r="D466" s="7"/>
    </row>
    <row r="467" customFormat="false" ht="15" hidden="false" customHeight="false" outlineLevel="0" collapsed="false">
      <c r="A467" s="6" t="str">
        <f aca="false">IF('DATA UNIT'!$B25="","",'DATA UNIT'!$B25)</f>
        <v>KT 1619 YI</v>
      </c>
      <c r="B467" s="6" t="str">
        <f aca="false">IF($A467="","",INDEX(PlanningItemsList,6))</f>
        <v>Accu</v>
      </c>
      <c r="C467" s="7"/>
      <c r="D467" s="7"/>
    </row>
    <row r="468" customFormat="false" ht="15" hidden="false" customHeight="false" outlineLevel="0" collapsed="false">
      <c r="A468" s="6" t="str">
        <f aca="false">IF('DATA UNIT'!$B25="","",'DATA UNIT'!$B25)</f>
        <v>KT 1619 YI</v>
      </c>
      <c r="B468" s="6" t="str">
        <f aca="false">IF($A468="","",INDEX(PlanningItemsList,7))</f>
        <v>Kampas Kopling Set</v>
      </c>
      <c r="C468" s="7"/>
      <c r="D468" s="7"/>
    </row>
    <row r="469" customFormat="false" ht="15" hidden="false" customHeight="false" outlineLevel="0" collapsed="false">
      <c r="A469" s="6" t="str">
        <f aca="false">IF('DATA UNIT'!$B25="","",'DATA UNIT'!$B25)</f>
        <v>KT 1619 YI</v>
      </c>
      <c r="B469" s="6" t="str">
        <f aca="false">IF($A469="","",INDEX(PlanningItemsList,8))</f>
        <v>Wiper Blade</v>
      </c>
      <c r="C469" s="7"/>
      <c r="D469" s="7"/>
    </row>
    <row r="470" customFormat="false" ht="15" hidden="false" customHeight="false" outlineLevel="0" collapsed="false">
      <c r="A470" s="6" t="str">
        <f aca="false">IF('DATA UNIT'!$B25="","",'DATA UNIT'!$B25)</f>
        <v>KT 1619 YI</v>
      </c>
      <c r="B470" s="6" t="str">
        <f aca="false">IF($A470="","",INDEX(PlanningItemsList,9))</f>
        <v>Ban Depan</v>
      </c>
      <c r="C470" s="7"/>
      <c r="D470" s="7"/>
    </row>
    <row r="471" customFormat="false" ht="15" hidden="false" customHeight="false" outlineLevel="0" collapsed="false">
      <c r="A471" s="6" t="str">
        <f aca="false">IF('DATA UNIT'!$B25="","",'DATA UNIT'!$B25)</f>
        <v>KT 1619 YI</v>
      </c>
      <c r="B471" s="6" t="str">
        <f aca="false">IF($A471="","",INDEX(PlanningItemsList,10))</f>
        <v>Ban Belakang</v>
      </c>
      <c r="C471" s="7"/>
      <c r="D471" s="7"/>
    </row>
    <row r="472" customFormat="false" ht="15" hidden="false" customHeight="false" outlineLevel="0" collapsed="false">
      <c r="A472" s="6" t="str">
        <f aca="false">IF('DATA UNIT'!$B25="","",'DATA UNIT'!$B25)</f>
        <v>KT 1619 YI</v>
      </c>
      <c r="B472" s="6" t="str">
        <f aca="false">IF($A472="","",INDEX(PlanningItemsList,11))</f>
        <v>Ban Serep</v>
      </c>
      <c r="C472" s="7"/>
      <c r="D472" s="7"/>
    </row>
    <row r="473" customFormat="false" ht="15" hidden="false" customHeight="false" outlineLevel="0" collapsed="false">
      <c r="A473" s="6" t="str">
        <f aca="false">IF('DATA UNIT'!$B25="","",'DATA UNIT'!$B25)</f>
        <v>KT 1619 YI</v>
      </c>
      <c r="B473" s="6" t="str">
        <f aca="false">IF($A473="","",INDEX(PlanningItemsList,12))</f>
        <v>Greasing</v>
      </c>
      <c r="C473" s="7"/>
      <c r="D473" s="7"/>
    </row>
    <row r="474" customFormat="false" ht="15" hidden="false" customHeight="false" outlineLevel="0" collapsed="false">
      <c r="A474" s="6" t="str">
        <f aca="false">IF('DATA UNIT'!$B25="","",'DATA UNIT'!$B25)</f>
        <v>KT 1619 YI</v>
      </c>
      <c r="B474" s="6" t="str">
        <f aca="false">IF($A474="","",INDEX(PlanningItemsList,13))</f>
        <v>V-Belt</v>
      </c>
      <c r="C474" s="7"/>
      <c r="D474" s="7"/>
    </row>
    <row r="475" customFormat="false" ht="15" hidden="false" customHeight="false" outlineLevel="0" collapsed="false">
      <c r="A475" s="6" t="str">
        <f aca="false">IF('DATA UNIT'!$B25="","",'DATA UNIT'!$B25)</f>
        <v>KT 1619 YI</v>
      </c>
      <c r="B475" s="6" t="str">
        <f aca="false">IF($A475="","",INDEX(PlanningItemsList,14))</f>
        <v>Sarung Jok</v>
      </c>
      <c r="C475" s="7"/>
      <c r="D475" s="7"/>
    </row>
    <row r="476" customFormat="false" ht="15" hidden="false" customHeight="false" outlineLevel="0" collapsed="false">
      <c r="A476" s="6" t="str">
        <f aca="false">IF('DATA UNIT'!$B25="","",'DATA UNIT'!$B25)</f>
        <v>KT 1619 YI</v>
      </c>
      <c r="B476" s="6" t="str">
        <f aca="false">IF($A476="","",INDEX(PlanningItemsList,15))</f>
        <v>Karpet Karet</v>
      </c>
      <c r="C476" s="7"/>
      <c r="D476" s="7"/>
    </row>
    <row r="477" customFormat="false" ht="15" hidden="false" customHeight="false" outlineLevel="0" collapsed="false">
      <c r="A477" s="6" t="str">
        <f aca="false">IF('DATA UNIT'!$B25="","",'DATA UNIT'!$B25)</f>
        <v>KT 1619 YI</v>
      </c>
      <c r="B477" s="6" t="str">
        <f aca="false">IF($A477="","",INDEX(PlanningItemsList,16))</f>
        <v>Karpet Dasar</v>
      </c>
      <c r="C477" s="7"/>
      <c r="D477" s="7"/>
    </row>
    <row r="478" customFormat="false" ht="15" hidden="false" customHeight="false" outlineLevel="0" collapsed="false">
      <c r="A478" s="6" t="str">
        <f aca="false">IF('DATA UNIT'!$B25="","",'DATA UNIT'!$B25)</f>
        <v>KT 1619 YI</v>
      </c>
      <c r="B478" s="6" t="str">
        <f aca="false">IF($A478="","",INDEX(PlanningItemsList,17))</f>
        <v>Flushing Radiator</v>
      </c>
      <c r="C478" s="7"/>
      <c r="D478" s="7"/>
    </row>
    <row r="479" customFormat="false" ht="15" hidden="false" customHeight="false" outlineLevel="0" collapsed="false">
      <c r="A479" s="6" t="str">
        <f aca="false">IF('DATA UNIT'!$B25="","",'DATA UNIT'!$B25)</f>
        <v>KT 1619 YI</v>
      </c>
      <c r="B479" s="6" t="str">
        <f aca="false">IF($A479="","",INDEX(PlanningItemsList,18))</f>
        <v>Flushing Steering</v>
      </c>
      <c r="C479" s="7"/>
      <c r="D479" s="7"/>
    </row>
    <row r="480" customFormat="false" ht="15" hidden="false" customHeight="false" outlineLevel="0" collapsed="false">
      <c r="A480" s="6" t="str">
        <f aca="false">IF('DATA UNIT'!$B25="","",'DATA UNIT'!$B25)</f>
        <v>KT 1619 YI</v>
      </c>
      <c r="B480" s="6" t="str">
        <f aca="false">IF($A480="","",INDEX(PlanningItemsList,19))</f>
        <v>Flushing Injector</v>
      </c>
      <c r="C480" s="7"/>
      <c r="D480" s="7"/>
    </row>
    <row r="481" customFormat="false" ht="15" hidden="false" customHeight="false" outlineLevel="0" collapsed="false">
      <c r="A481" s="6" t="str">
        <f aca="false">IF('DATA UNIT'!$B25="","",'DATA UNIT'!$B25)</f>
        <v>KT 1619 YI</v>
      </c>
      <c r="B481" s="6" t="str">
        <f aca="false">IF($A481="","",INDEX(PlanningItemsList,20))</f>
        <v>Flushing Rem</v>
      </c>
      <c r="C481" s="7"/>
      <c r="D481" s="7"/>
    </row>
    <row r="482" customFormat="false" ht="15" hidden="false" customHeight="false" outlineLevel="0" collapsed="false">
      <c r="A482" s="6" t="str">
        <f aca="false">IF('DATA UNIT'!$B26="","",'DATA UNIT'!$B26)</f>
        <v>KT 8526 YT</v>
      </c>
      <c r="B482" s="6" t="str">
        <f aca="false">IF($A482="","",INDEX(PlanningItemsList,1))</f>
        <v>PM Check / Reguler Services</v>
      </c>
      <c r="C482" s="7"/>
      <c r="D482" s="7"/>
    </row>
    <row r="483" customFormat="false" ht="15" hidden="false" customHeight="false" outlineLevel="0" collapsed="false">
      <c r="A483" s="6" t="str">
        <f aca="false">IF('DATA UNIT'!$B26="","",'DATA UNIT'!$B26)</f>
        <v>KT 8526 YT</v>
      </c>
      <c r="B483" s="6" t="str">
        <f aca="false">IF($A483="","",INDEX(PlanningItemsList,2))</f>
        <v>Service A</v>
      </c>
      <c r="C483" s="7"/>
      <c r="D483" s="7"/>
    </row>
    <row r="484" customFormat="false" ht="15" hidden="false" customHeight="false" outlineLevel="0" collapsed="false">
      <c r="A484" s="6" t="str">
        <f aca="false">IF('DATA UNIT'!$B26="","",'DATA UNIT'!$B26)</f>
        <v>KT 8526 YT</v>
      </c>
      <c r="B484" s="6" t="str">
        <f aca="false">IF($A484="","",INDEX(PlanningItemsList,3))</f>
        <v>Service B</v>
      </c>
      <c r="C484" s="7"/>
      <c r="D484" s="7"/>
    </row>
    <row r="485" customFormat="false" ht="15" hidden="false" customHeight="false" outlineLevel="0" collapsed="false">
      <c r="A485" s="6" t="str">
        <f aca="false">IF('DATA UNIT'!$B26="","",'DATA UNIT'!$B26)</f>
        <v>KT 8526 YT</v>
      </c>
      <c r="B485" s="6" t="str">
        <f aca="false">IF($A485="","",INDEX(PlanningItemsList,4))</f>
        <v>Brake Pad</v>
      </c>
      <c r="C485" s="7"/>
      <c r="D485" s="7"/>
    </row>
    <row r="486" customFormat="false" ht="15" hidden="false" customHeight="false" outlineLevel="0" collapsed="false">
      <c r="A486" s="6" t="str">
        <f aca="false">IF('DATA UNIT'!$B26="","",'DATA UNIT'!$B26)</f>
        <v>KT 8526 YT</v>
      </c>
      <c r="B486" s="6" t="str">
        <f aca="false">IF($A486="","",INDEX(PlanningItemsList,5))</f>
        <v>Brake Shoe</v>
      </c>
      <c r="C486" s="7"/>
      <c r="D486" s="7"/>
    </row>
    <row r="487" customFormat="false" ht="15" hidden="false" customHeight="false" outlineLevel="0" collapsed="false">
      <c r="A487" s="6" t="str">
        <f aca="false">IF('DATA UNIT'!$B26="","",'DATA UNIT'!$B26)</f>
        <v>KT 8526 YT</v>
      </c>
      <c r="B487" s="6" t="str">
        <f aca="false">IF($A487="","",INDEX(PlanningItemsList,6))</f>
        <v>Accu</v>
      </c>
      <c r="C487" s="7"/>
      <c r="D487" s="7"/>
    </row>
    <row r="488" customFormat="false" ht="15" hidden="false" customHeight="false" outlineLevel="0" collapsed="false">
      <c r="A488" s="6" t="str">
        <f aca="false">IF('DATA UNIT'!$B26="","",'DATA UNIT'!$B26)</f>
        <v>KT 8526 YT</v>
      </c>
      <c r="B488" s="6" t="str">
        <f aca="false">IF($A488="","",INDEX(PlanningItemsList,7))</f>
        <v>Kampas Kopling Set</v>
      </c>
      <c r="C488" s="7"/>
      <c r="D488" s="7"/>
    </row>
    <row r="489" customFormat="false" ht="15" hidden="false" customHeight="false" outlineLevel="0" collapsed="false">
      <c r="A489" s="6" t="str">
        <f aca="false">IF('DATA UNIT'!$B26="","",'DATA UNIT'!$B26)</f>
        <v>KT 8526 YT</v>
      </c>
      <c r="B489" s="6" t="str">
        <f aca="false">IF($A489="","",INDEX(PlanningItemsList,8))</f>
        <v>Wiper Blade</v>
      </c>
      <c r="C489" s="7"/>
      <c r="D489" s="7"/>
    </row>
    <row r="490" customFormat="false" ht="15" hidden="false" customHeight="false" outlineLevel="0" collapsed="false">
      <c r="A490" s="6" t="str">
        <f aca="false">IF('DATA UNIT'!$B26="","",'DATA UNIT'!$B26)</f>
        <v>KT 8526 YT</v>
      </c>
      <c r="B490" s="6" t="str">
        <f aca="false">IF($A490="","",INDEX(PlanningItemsList,9))</f>
        <v>Ban Depan</v>
      </c>
      <c r="C490" s="7"/>
      <c r="D490" s="7"/>
    </row>
    <row r="491" customFormat="false" ht="15" hidden="false" customHeight="false" outlineLevel="0" collapsed="false">
      <c r="A491" s="6" t="str">
        <f aca="false">IF('DATA UNIT'!$B26="","",'DATA UNIT'!$B26)</f>
        <v>KT 8526 YT</v>
      </c>
      <c r="B491" s="6" t="str">
        <f aca="false">IF($A491="","",INDEX(PlanningItemsList,10))</f>
        <v>Ban Belakang</v>
      </c>
      <c r="C491" s="7"/>
      <c r="D491" s="7"/>
    </row>
    <row r="492" customFormat="false" ht="15" hidden="false" customHeight="false" outlineLevel="0" collapsed="false">
      <c r="A492" s="6" t="str">
        <f aca="false">IF('DATA UNIT'!$B26="","",'DATA UNIT'!$B26)</f>
        <v>KT 8526 YT</v>
      </c>
      <c r="B492" s="6" t="str">
        <f aca="false">IF($A492="","",INDEX(PlanningItemsList,11))</f>
        <v>Ban Serep</v>
      </c>
      <c r="C492" s="7"/>
      <c r="D492" s="7"/>
    </row>
    <row r="493" customFormat="false" ht="15" hidden="false" customHeight="false" outlineLevel="0" collapsed="false">
      <c r="A493" s="6" t="str">
        <f aca="false">IF('DATA UNIT'!$B26="","",'DATA UNIT'!$B26)</f>
        <v>KT 8526 YT</v>
      </c>
      <c r="B493" s="6" t="str">
        <f aca="false">IF($A493="","",INDEX(PlanningItemsList,12))</f>
        <v>Greasing</v>
      </c>
      <c r="C493" s="7"/>
      <c r="D493" s="7"/>
    </row>
    <row r="494" customFormat="false" ht="15" hidden="false" customHeight="false" outlineLevel="0" collapsed="false">
      <c r="A494" s="6" t="str">
        <f aca="false">IF('DATA UNIT'!$B26="","",'DATA UNIT'!$B26)</f>
        <v>KT 8526 YT</v>
      </c>
      <c r="B494" s="6" t="str">
        <f aca="false">IF($A494="","",INDEX(PlanningItemsList,13))</f>
        <v>V-Belt</v>
      </c>
      <c r="C494" s="7"/>
      <c r="D494" s="7"/>
    </row>
    <row r="495" customFormat="false" ht="15" hidden="false" customHeight="false" outlineLevel="0" collapsed="false">
      <c r="A495" s="6" t="str">
        <f aca="false">IF('DATA UNIT'!$B26="","",'DATA UNIT'!$B26)</f>
        <v>KT 8526 YT</v>
      </c>
      <c r="B495" s="6" t="str">
        <f aca="false">IF($A495="","",INDEX(PlanningItemsList,14))</f>
        <v>Sarung Jok</v>
      </c>
      <c r="C495" s="7"/>
      <c r="D495" s="7"/>
    </row>
    <row r="496" customFormat="false" ht="15" hidden="false" customHeight="false" outlineLevel="0" collapsed="false">
      <c r="A496" s="6" t="str">
        <f aca="false">IF('DATA UNIT'!$B26="","",'DATA UNIT'!$B26)</f>
        <v>KT 8526 YT</v>
      </c>
      <c r="B496" s="6" t="str">
        <f aca="false">IF($A496="","",INDEX(PlanningItemsList,15))</f>
        <v>Karpet Karet</v>
      </c>
      <c r="C496" s="7"/>
      <c r="D496" s="7"/>
    </row>
    <row r="497" customFormat="false" ht="15" hidden="false" customHeight="false" outlineLevel="0" collapsed="false">
      <c r="A497" s="6" t="str">
        <f aca="false">IF('DATA UNIT'!$B26="","",'DATA UNIT'!$B26)</f>
        <v>KT 8526 YT</v>
      </c>
      <c r="B497" s="6" t="str">
        <f aca="false">IF($A497="","",INDEX(PlanningItemsList,16))</f>
        <v>Karpet Dasar</v>
      </c>
      <c r="C497" s="7"/>
      <c r="D497" s="7"/>
    </row>
    <row r="498" customFormat="false" ht="15" hidden="false" customHeight="false" outlineLevel="0" collapsed="false">
      <c r="A498" s="6" t="str">
        <f aca="false">IF('DATA UNIT'!$B26="","",'DATA UNIT'!$B26)</f>
        <v>KT 8526 YT</v>
      </c>
      <c r="B498" s="6" t="str">
        <f aca="false">IF($A498="","",INDEX(PlanningItemsList,17))</f>
        <v>Flushing Radiator</v>
      </c>
      <c r="C498" s="7"/>
      <c r="D498" s="7"/>
    </row>
    <row r="499" customFormat="false" ht="15" hidden="false" customHeight="false" outlineLevel="0" collapsed="false">
      <c r="A499" s="6" t="str">
        <f aca="false">IF('DATA UNIT'!$B26="","",'DATA UNIT'!$B26)</f>
        <v>KT 8526 YT</v>
      </c>
      <c r="B499" s="6" t="str">
        <f aca="false">IF($A499="","",INDEX(PlanningItemsList,18))</f>
        <v>Flushing Steering</v>
      </c>
      <c r="C499" s="7"/>
      <c r="D499" s="7"/>
    </row>
    <row r="500" customFormat="false" ht="15" hidden="false" customHeight="false" outlineLevel="0" collapsed="false">
      <c r="A500" s="6" t="str">
        <f aca="false">IF('DATA UNIT'!$B26="","",'DATA UNIT'!$B26)</f>
        <v>KT 8526 YT</v>
      </c>
      <c r="B500" s="6" t="str">
        <f aca="false">IF($A500="","",INDEX(PlanningItemsList,19))</f>
        <v>Flushing Injector</v>
      </c>
      <c r="C500" s="7"/>
      <c r="D500" s="7"/>
    </row>
    <row r="501" customFormat="false" ht="15" hidden="false" customHeight="false" outlineLevel="0" collapsed="false">
      <c r="A501" s="6" t="str">
        <f aca="false">IF('DATA UNIT'!$B26="","",'DATA UNIT'!$B26)</f>
        <v>KT 8526 YT</v>
      </c>
      <c r="B501" s="6" t="str">
        <f aca="false">IF($A501="","",INDEX(PlanningItemsList,20))</f>
        <v>Flushing Rem</v>
      </c>
      <c r="C501" s="7"/>
      <c r="D501" s="7"/>
    </row>
    <row r="502" customFormat="false" ht="15" hidden="false" customHeight="false" outlineLevel="0" collapsed="false">
      <c r="A502" s="6" t="str">
        <f aca="false">IF('DATA UNIT'!$B27="","",'DATA UNIT'!$B27)</f>
        <v>KT 8527 YT</v>
      </c>
      <c r="B502" s="6" t="str">
        <f aca="false">IF($A502="","",INDEX(PlanningItemsList,1))</f>
        <v>PM Check / Reguler Services</v>
      </c>
      <c r="C502" s="7"/>
      <c r="D502" s="7"/>
    </row>
    <row r="503" customFormat="false" ht="15" hidden="false" customHeight="false" outlineLevel="0" collapsed="false">
      <c r="A503" s="6" t="str">
        <f aca="false">IF('DATA UNIT'!$B27="","",'DATA UNIT'!$B27)</f>
        <v>KT 8527 YT</v>
      </c>
      <c r="B503" s="6" t="str">
        <f aca="false">IF($A503="","",INDEX(PlanningItemsList,2))</f>
        <v>Service A</v>
      </c>
      <c r="C503" s="7"/>
      <c r="D503" s="7"/>
    </row>
    <row r="504" customFormat="false" ht="15" hidden="false" customHeight="false" outlineLevel="0" collapsed="false">
      <c r="A504" s="6" t="str">
        <f aca="false">IF('DATA UNIT'!$B27="","",'DATA UNIT'!$B27)</f>
        <v>KT 8527 YT</v>
      </c>
      <c r="B504" s="6" t="str">
        <f aca="false">IF($A504="","",INDEX(PlanningItemsList,3))</f>
        <v>Service B</v>
      </c>
      <c r="C504" s="7"/>
      <c r="D504" s="7"/>
    </row>
    <row r="505" customFormat="false" ht="15" hidden="false" customHeight="false" outlineLevel="0" collapsed="false">
      <c r="A505" s="6" t="str">
        <f aca="false">IF('DATA UNIT'!$B27="","",'DATA UNIT'!$B27)</f>
        <v>KT 8527 YT</v>
      </c>
      <c r="B505" s="6" t="str">
        <f aca="false">IF($A505="","",INDEX(PlanningItemsList,4))</f>
        <v>Brake Pad</v>
      </c>
      <c r="C505" s="7"/>
      <c r="D505" s="7"/>
    </row>
    <row r="506" customFormat="false" ht="15" hidden="false" customHeight="false" outlineLevel="0" collapsed="false">
      <c r="A506" s="6" t="str">
        <f aca="false">IF('DATA UNIT'!$B27="","",'DATA UNIT'!$B27)</f>
        <v>KT 8527 YT</v>
      </c>
      <c r="B506" s="6" t="str">
        <f aca="false">IF($A506="","",INDEX(PlanningItemsList,5))</f>
        <v>Brake Shoe</v>
      </c>
      <c r="C506" s="7"/>
      <c r="D506" s="7"/>
    </row>
    <row r="507" customFormat="false" ht="15" hidden="false" customHeight="false" outlineLevel="0" collapsed="false">
      <c r="A507" s="6" t="str">
        <f aca="false">IF('DATA UNIT'!$B27="","",'DATA UNIT'!$B27)</f>
        <v>KT 8527 YT</v>
      </c>
      <c r="B507" s="6" t="str">
        <f aca="false">IF($A507="","",INDEX(PlanningItemsList,6))</f>
        <v>Accu</v>
      </c>
      <c r="C507" s="7"/>
      <c r="D507" s="7"/>
    </row>
    <row r="508" customFormat="false" ht="15" hidden="false" customHeight="false" outlineLevel="0" collapsed="false">
      <c r="A508" s="6" t="str">
        <f aca="false">IF('DATA UNIT'!$B27="","",'DATA UNIT'!$B27)</f>
        <v>KT 8527 YT</v>
      </c>
      <c r="B508" s="6" t="str">
        <f aca="false">IF($A508="","",INDEX(PlanningItemsList,7))</f>
        <v>Kampas Kopling Set</v>
      </c>
      <c r="C508" s="7"/>
      <c r="D508" s="7"/>
    </row>
    <row r="509" customFormat="false" ht="15" hidden="false" customHeight="false" outlineLevel="0" collapsed="false">
      <c r="A509" s="6" t="str">
        <f aca="false">IF('DATA UNIT'!$B27="","",'DATA UNIT'!$B27)</f>
        <v>KT 8527 YT</v>
      </c>
      <c r="B509" s="6" t="str">
        <f aca="false">IF($A509="","",INDEX(PlanningItemsList,8))</f>
        <v>Wiper Blade</v>
      </c>
      <c r="C509" s="7"/>
      <c r="D509" s="7"/>
    </row>
    <row r="510" customFormat="false" ht="15" hidden="false" customHeight="false" outlineLevel="0" collapsed="false">
      <c r="A510" s="6" t="str">
        <f aca="false">IF('DATA UNIT'!$B27="","",'DATA UNIT'!$B27)</f>
        <v>KT 8527 YT</v>
      </c>
      <c r="B510" s="6" t="str">
        <f aca="false">IF($A510="","",INDEX(PlanningItemsList,9))</f>
        <v>Ban Depan</v>
      </c>
      <c r="C510" s="7"/>
      <c r="D510" s="7"/>
    </row>
    <row r="511" customFormat="false" ht="15" hidden="false" customHeight="false" outlineLevel="0" collapsed="false">
      <c r="A511" s="6" t="str">
        <f aca="false">IF('DATA UNIT'!$B27="","",'DATA UNIT'!$B27)</f>
        <v>KT 8527 YT</v>
      </c>
      <c r="B511" s="6" t="str">
        <f aca="false">IF($A511="","",INDEX(PlanningItemsList,10))</f>
        <v>Ban Belakang</v>
      </c>
      <c r="C511" s="7"/>
      <c r="D511" s="7"/>
    </row>
    <row r="512" customFormat="false" ht="15" hidden="false" customHeight="false" outlineLevel="0" collapsed="false">
      <c r="A512" s="6" t="str">
        <f aca="false">IF('DATA UNIT'!$B27="","",'DATA UNIT'!$B27)</f>
        <v>KT 8527 YT</v>
      </c>
      <c r="B512" s="6" t="str">
        <f aca="false">IF($A512="","",INDEX(PlanningItemsList,11))</f>
        <v>Ban Serep</v>
      </c>
      <c r="C512" s="7"/>
      <c r="D512" s="7"/>
    </row>
    <row r="513" customFormat="false" ht="15" hidden="false" customHeight="false" outlineLevel="0" collapsed="false">
      <c r="A513" s="6" t="str">
        <f aca="false">IF('DATA UNIT'!$B27="","",'DATA UNIT'!$B27)</f>
        <v>KT 8527 YT</v>
      </c>
      <c r="B513" s="6" t="str">
        <f aca="false">IF($A513="","",INDEX(PlanningItemsList,12))</f>
        <v>Greasing</v>
      </c>
      <c r="C513" s="7"/>
      <c r="D513" s="7"/>
    </row>
    <row r="514" customFormat="false" ht="15" hidden="false" customHeight="false" outlineLevel="0" collapsed="false">
      <c r="A514" s="6" t="str">
        <f aca="false">IF('DATA UNIT'!$B27="","",'DATA UNIT'!$B27)</f>
        <v>KT 8527 YT</v>
      </c>
      <c r="B514" s="6" t="str">
        <f aca="false">IF($A514="","",INDEX(PlanningItemsList,13))</f>
        <v>V-Belt</v>
      </c>
      <c r="C514" s="7"/>
      <c r="D514" s="7"/>
    </row>
    <row r="515" customFormat="false" ht="15" hidden="false" customHeight="false" outlineLevel="0" collapsed="false">
      <c r="A515" s="6" t="str">
        <f aca="false">IF('DATA UNIT'!$B27="","",'DATA UNIT'!$B27)</f>
        <v>KT 8527 YT</v>
      </c>
      <c r="B515" s="6" t="str">
        <f aca="false">IF($A515="","",INDEX(PlanningItemsList,14))</f>
        <v>Sarung Jok</v>
      </c>
      <c r="C515" s="7"/>
      <c r="D515" s="7"/>
    </row>
    <row r="516" customFormat="false" ht="15" hidden="false" customHeight="false" outlineLevel="0" collapsed="false">
      <c r="A516" s="6" t="str">
        <f aca="false">IF('DATA UNIT'!$B27="","",'DATA UNIT'!$B27)</f>
        <v>KT 8527 YT</v>
      </c>
      <c r="B516" s="6" t="str">
        <f aca="false">IF($A516="","",INDEX(PlanningItemsList,15))</f>
        <v>Karpet Karet</v>
      </c>
      <c r="C516" s="7"/>
      <c r="D516" s="7"/>
    </row>
    <row r="517" customFormat="false" ht="15" hidden="false" customHeight="false" outlineLevel="0" collapsed="false">
      <c r="A517" s="6" t="str">
        <f aca="false">IF('DATA UNIT'!$B27="","",'DATA UNIT'!$B27)</f>
        <v>KT 8527 YT</v>
      </c>
      <c r="B517" s="6" t="str">
        <f aca="false">IF($A517="","",INDEX(PlanningItemsList,16))</f>
        <v>Karpet Dasar</v>
      </c>
      <c r="C517" s="7"/>
      <c r="D517" s="7"/>
    </row>
    <row r="518" customFormat="false" ht="15" hidden="false" customHeight="false" outlineLevel="0" collapsed="false">
      <c r="A518" s="6" t="str">
        <f aca="false">IF('DATA UNIT'!$B27="","",'DATA UNIT'!$B27)</f>
        <v>KT 8527 YT</v>
      </c>
      <c r="B518" s="6" t="str">
        <f aca="false">IF($A518="","",INDEX(PlanningItemsList,17))</f>
        <v>Flushing Radiator</v>
      </c>
      <c r="C518" s="7"/>
      <c r="D518" s="7"/>
    </row>
    <row r="519" customFormat="false" ht="15" hidden="false" customHeight="false" outlineLevel="0" collapsed="false">
      <c r="A519" s="6" t="str">
        <f aca="false">IF('DATA UNIT'!$B27="","",'DATA UNIT'!$B27)</f>
        <v>KT 8527 YT</v>
      </c>
      <c r="B519" s="6" t="str">
        <f aca="false">IF($A519="","",INDEX(PlanningItemsList,18))</f>
        <v>Flushing Steering</v>
      </c>
      <c r="C519" s="7"/>
      <c r="D519" s="7"/>
    </row>
    <row r="520" customFormat="false" ht="15" hidden="false" customHeight="false" outlineLevel="0" collapsed="false">
      <c r="A520" s="6" t="str">
        <f aca="false">IF('DATA UNIT'!$B27="","",'DATA UNIT'!$B27)</f>
        <v>KT 8527 YT</v>
      </c>
      <c r="B520" s="6" t="str">
        <f aca="false">IF($A520="","",INDEX(PlanningItemsList,19))</f>
        <v>Flushing Injector</v>
      </c>
      <c r="C520" s="7"/>
      <c r="D520" s="7"/>
    </row>
    <row r="521" customFormat="false" ht="15" hidden="false" customHeight="false" outlineLevel="0" collapsed="false">
      <c r="A521" s="6" t="str">
        <f aca="false">IF('DATA UNIT'!$B27="","",'DATA UNIT'!$B27)</f>
        <v>KT 8527 YT</v>
      </c>
      <c r="B521" s="6" t="str">
        <f aca="false">IF($A521="","",INDEX(PlanningItemsList,20))</f>
        <v>Flushing Rem</v>
      </c>
      <c r="C521" s="7"/>
      <c r="D521" s="7"/>
    </row>
    <row r="522" customFormat="false" ht="15" hidden="false" customHeight="false" outlineLevel="0" collapsed="false">
      <c r="A522" s="6" t="str">
        <f aca="false">IF('DATA UNIT'!$B28="","",'DATA UNIT'!$B28)</f>
        <v>KT 8039 YV</v>
      </c>
      <c r="B522" s="6" t="str">
        <f aca="false">IF($A522="","",INDEX(PlanningItemsList,1))</f>
        <v>PM Check / Reguler Services</v>
      </c>
      <c r="C522" s="7"/>
      <c r="D522" s="7"/>
    </row>
    <row r="523" customFormat="false" ht="15" hidden="false" customHeight="false" outlineLevel="0" collapsed="false">
      <c r="A523" s="6" t="str">
        <f aca="false">IF('DATA UNIT'!$B28="","",'DATA UNIT'!$B28)</f>
        <v>KT 8039 YV</v>
      </c>
      <c r="B523" s="6" t="str">
        <f aca="false">IF($A523="","",INDEX(PlanningItemsList,2))</f>
        <v>Service A</v>
      </c>
      <c r="C523" s="7"/>
      <c r="D523" s="7"/>
    </row>
    <row r="524" customFormat="false" ht="15" hidden="false" customHeight="false" outlineLevel="0" collapsed="false">
      <c r="A524" s="6" t="str">
        <f aca="false">IF('DATA UNIT'!$B28="","",'DATA UNIT'!$B28)</f>
        <v>KT 8039 YV</v>
      </c>
      <c r="B524" s="6" t="str">
        <f aca="false">IF($A524="","",INDEX(PlanningItemsList,3))</f>
        <v>Service B</v>
      </c>
      <c r="C524" s="7"/>
      <c r="D524" s="7"/>
    </row>
    <row r="525" customFormat="false" ht="15" hidden="false" customHeight="false" outlineLevel="0" collapsed="false">
      <c r="A525" s="6" t="str">
        <f aca="false">IF('DATA UNIT'!$B28="","",'DATA UNIT'!$B28)</f>
        <v>KT 8039 YV</v>
      </c>
      <c r="B525" s="6" t="str">
        <f aca="false">IF($A525="","",INDEX(PlanningItemsList,4))</f>
        <v>Brake Pad</v>
      </c>
      <c r="C525" s="7"/>
      <c r="D525" s="7"/>
    </row>
    <row r="526" customFormat="false" ht="15" hidden="false" customHeight="false" outlineLevel="0" collapsed="false">
      <c r="A526" s="6" t="str">
        <f aca="false">IF('DATA UNIT'!$B28="","",'DATA UNIT'!$B28)</f>
        <v>KT 8039 YV</v>
      </c>
      <c r="B526" s="6" t="str">
        <f aca="false">IF($A526="","",INDEX(PlanningItemsList,5))</f>
        <v>Brake Shoe</v>
      </c>
      <c r="C526" s="7"/>
      <c r="D526" s="7"/>
    </row>
    <row r="527" customFormat="false" ht="15" hidden="false" customHeight="false" outlineLevel="0" collapsed="false">
      <c r="A527" s="6" t="str">
        <f aca="false">IF('DATA UNIT'!$B28="","",'DATA UNIT'!$B28)</f>
        <v>KT 8039 YV</v>
      </c>
      <c r="B527" s="6" t="str">
        <f aca="false">IF($A527="","",INDEX(PlanningItemsList,6))</f>
        <v>Accu</v>
      </c>
      <c r="C527" s="7"/>
      <c r="D527" s="7"/>
    </row>
    <row r="528" customFormat="false" ht="15" hidden="false" customHeight="false" outlineLevel="0" collapsed="false">
      <c r="A528" s="6" t="str">
        <f aca="false">IF('DATA UNIT'!$B28="","",'DATA UNIT'!$B28)</f>
        <v>KT 8039 YV</v>
      </c>
      <c r="B528" s="6" t="str">
        <f aca="false">IF($A528="","",INDEX(PlanningItemsList,7))</f>
        <v>Kampas Kopling Set</v>
      </c>
      <c r="C528" s="7"/>
      <c r="D528" s="7"/>
    </row>
    <row r="529" customFormat="false" ht="15" hidden="false" customHeight="false" outlineLevel="0" collapsed="false">
      <c r="A529" s="6" t="str">
        <f aca="false">IF('DATA UNIT'!$B28="","",'DATA UNIT'!$B28)</f>
        <v>KT 8039 YV</v>
      </c>
      <c r="B529" s="6" t="str">
        <f aca="false">IF($A529="","",INDEX(PlanningItemsList,8))</f>
        <v>Wiper Blade</v>
      </c>
      <c r="C529" s="7"/>
      <c r="D529" s="7"/>
    </row>
    <row r="530" customFormat="false" ht="15" hidden="false" customHeight="false" outlineLevel="0" collapsed="false">
      <c r="A530" s="6" t="str">
        <f aca="false">IF('DATA UNIT'!$B28="","",'DATA UNIT'!$B28)</f>
        <v>KT 8039 YV</v>
      </c>
      <c r="B530" s="6" t="str">
        <f aca="false">IF($A530="","",INDEX(PlanningItemsList,9))</f>
        <v>Ban Depan</v>
      </c>
      <c r="C530" s="7"/>
      <c r="D530" s="7"/>
    </row>
    <row r="531" customFormat="false" ht="15" hidden="false" customHeight="false" outlineLevel="0" collapsed="false">
      <c r="A531" s="6" t="str">
        <f aca="false">IF('DATA UNIT'!$B28="","",'DATA UNIT'!$B28)</f>
        <v>KT 8039 YV</v>
      </c>
      <c r="B531" s="6" t="str">
        <f aca="false">IF($A531="","",INDEX(PlanningItemsList,10))</f>
        <v>Ban Belakang</v>
      </c>
      <c r="C531" s="7"/>
      <c r="D531" s="7"/>
    </row>
    <row r="532" customFormat="false" ht="15" hidden="false" customHeight="false" outlineLevel="0" collapsed="false">
      <c r="A532" s="6" t="str">
        <f aca="false">IF('DATA UNIT'!$B28="","",'DATA UNIT'!$B28)</f>
        <v>KT 8039 YV</v>
      </c>
      <c r="B532" s="6" t="str">
        <f aca="false">IF($A532="","",INDEX(PlanningItemsList,11))</f>
        <v>Ban Serep</v>
      </c>
      <c r="C532" s="7"/>
      <c r="D532" s="7"/>
    </row>
    <row r="533" customFormat="false" ht="15" hidden="false" customHeight="false" outlineLevel="0" collapsed="false">
      <c r="A533" s="6" t="str">
        <f aca="false">IF('DATA UNIT'!$B28="","",'DATA UNIT'!$B28)</f>
        <v>KT 8039 YV</v>
      </c>
      <c r="B533" s="6" t="str">
        <f aca="false">IF($A533="","",INDEX(PlanningItemsList,12))</f>
        <v>Greasing</v>
      </c>
      <c r="C533" s="7"/>
      <c r="D533" s="7"/>
    </row>
    <row r="534" customFormat="false" ht="15" hidden="false" customHeight="false" outlineLevel="0" collapsed="false">
      <c r="A534" s="6" t="str">
        <f aca="false">IF('DATA UNIT'!$B28="","",'DATA UNIT'!$B28)</f>
        <v>KT 8039 YV</v>
      </c>
      <c r="B534" s="6" t="str">
        <f aca="false">IF($A534="","",INDEX(PlanningItemsList,13))</f>
        <v>V-Belt</v>
      </c>
      <c r="C534" s="7"/>
      <c r="D534" s="7"/>
    </row>
    <row r="535" customFormat="false" ht="15" hidden="false" customHeight="false" outlineLevel="0" collapsed="false">
      <c r="A535" s="6" t="str">
        <f aca="false">IF('DATA UNIT'!$B28="","",'DATA UNIT'!$B28)</f>
        <v>KT 8039 YV</v>
      </c>
      <c r="B535" s="6" t="str">
        <f aca="false">IF($A535="","",INDEX(PlanningItemsList,14))</f>
        <v>Sarung Jok</v>
      </c>
      <c r="C535" s="7"/>
      <c r="D535" s="7"/>
    </row>
    <row r="536" customFormat="false" ht="15" hidden="false" customHeight="false" outlineLevel="0" collapsed="false">
      <c r="A536" s="6" t="str">
        <f aca="false">IF('DATA UNIT'!$B28="","",'DATA UNIT'!$B28)</f>
        <v>KT 8039 YV</v>
      </c>
      <c r="B536" s="6" t="str">
        <f aca="false">IF($A536="","",INDEX(PlanningItemsList,15))</f>
        <v>Karpet Karet</v>
      </c>
      <c r="C536" s="7"/>
      <c r="D536" s="7"/>
    </row>
    <row r="537" customFormat="false" ht="15" hidden="false" customHeight="false" outlineLevel="0" collapsed="false">
      <c r="A537" s="6" t="str">
        <f aca="false">IF('DATA UNIT'!$B28="","",'DATA UNIT'!$B28)</f>
        <v>KT 8039 YV</v>
      </c>
      <c r="B537" s="6" t="str">
        <f aca="false">IF($A537="","",INDEX(PlanningItemsList,16))</f>
        <v>Karpet Dasar</v>
      </c>
      <c r="C537" s="7"/>
      <c r="D537" s="7"/>
    </row>
    <row r="538" customFormat="false" ht="15" hidden="false" customHeight="false" outlineLevel="0" collapsed="false">
      <c r="A538" s="6" t="str">
        <f aca="false">IF('DATA UNIT'!$B28="","",'DATA UNIT'!$B28)</f>
        <v>KT 8039 YV</v>
      </c>
      <c r="B538" s="6" t="str">
        <f aca="false">IF($A538="","",INDEX(PlanningItemsList,17))</f>
        <v>Flushing Radiator</v>
      </c>
      <c r="C538" s="7"/>
      <c r="D538" s="7"/>
    </row>
    <row r="539" customFormat="false" ht="15" hidden="false" customHeight="false" outlineLevel="0" collapsed="false">
      <c r="A539" s="6" t="str">
        <f aca="false">IF('DATA UNIT'!$B28="","",'DATA UNIT'!$B28)</f>
        <v>KT 8039 YV</v>
      </c>
      <c r="B539" s="6" t="str">
        <f aca="false">IF($A539="","",INDEX(PlanningItemsList,18))</f>
        <v>Flushing Steering</v>
      </c>
      <c r="C539" s="7"/>
      <c r="D539" s="7"/>
    </row>
    <row r="540" customFormat="false" ht="15" hidden="false" customHeight="false" outlineLevel="0" collapsed="false">
      <c r="A540" s="6" t="str">
        <f aca="false">IF('DATA UNIT'!$B28="","",'DATA UNIT'!$B28)</f>
        <v>KT 8039 YV</v>
      </c>
      <c r="B540" s="6" t="str">
        <f aca="false">IF($A540="","",INDEX(PlanningItemsList,19))</f>
        <v>Flushing Injector</v>
      </c>
      <c r="C540" s="7"/>
      <c r="D540" s="7"/>
    </row>
    <row r="541" customFormat="false" ht="15" hidden="false" customHeight="false" outlineLevel="0" collapsed="false">
      <c r="A541" s="6" t="str">
        <f aca="false">IF('DATA UNIT'!$B28="","",'DATA UNIT'!$B28)</f>
        <v>KT 8039 YV</v>
      </c>
      <c r="B541" s="6" t="str">
        <f aca="false">IF($A541="","",INDEX(PlanningItemsList,20))</f>
        <v>Flushing Rem</v>
      </c>
      <c r="C541" s="7"/>
      <c r="D541" s="7"/>
    </row>
    <row r="542" customFormat="false" ht="15" hidden="false" customHeight="false" outlineLevel="0" collapsed="false">
      <c r="A542" s="6" t="str">
        <f aca="false">IF('DATA UNIT'!$B29="","",'DATA UNIT'!$B29)</f>
        <v>KT 8041 YV</v>
      </c>
      <c r="B542" s="6" t="str">
        <f aca="false">IF($A542="","",INDEX(PlanningItemsList,1))</f>
        <v>PM Check / Reguler Services</v>
      </c>
      <c r="C542" s="7"/>
      <c r="D542" s="7"/>
    </row>
    <row r="543" customFormat="false" ht="15" hidden="false" customHeight="false" outlineLevel="0" collapsed="false">
      <c r="A543" s="6" t="str">
        <f aca="false">IF('DATA UNIT'!$B29="","",'DATA UNIT'!$B29)</f>
        <v>KT 8041 YV</v>
      </c>
      <c r="B543" s="6" t="str">
        <f aca="false">IF($A543="","",INDEX(PlanningItemsList,2))</f>
        <v>Service A</v>
      </c>
      <c r="C543" s="7"/>
      <c r="D543" s="7"/>
    </row>
    <row r="544" customFormat="false" ht="15" hidden="false" customHeight="false" outlineLevel="0" collapsed="false">
      <c r="A544" s="6" t="str">
        <f aca="false">IF('DATA UNIT'!$B29="","",'DATA UNIT'!$B29)</f>
        <v>KT 8041 YV</v>
      </c>
      <c r="B544" s="6" t="str">
        <f aca="false">IF($A544="","",INDEX(PlanningItemsList,3))</f>
        <v>Service B</v>
      </c>
      <c r="C544" s="7"/>
      <c r="D544" s="7"/>
    </row>
    <row r="545" customFormat="false" ht="15" hidden="false" customHeight="false" outlineLevel="0" collapsed="false">
      <c r="A545" s="6" t="str">
        <f aca="false">IF('DATA UNIT'!$B29="","",'DATA UNIT'!$B29)</f>
        <v>KT 8041 YV</v>
      </c>
      <c r="B545" s="6" t="str">
        <f aca="false">IF($A545="","",INDEX(PlanningItemsList,4))</f>
        <v>Brake Pad</v>
      </c>
      <c r="C545" s="7"/>
      <c r="D545" s="7"/>
    </row>
    <row r="546" customFormat="false" ht="15" hidden="false" customHeight="false" outlineLevel="0" collapsed="false">
      <c r="A546" s="6" t="str">
        <f aca="false">IF('DATA UNIT'!$B29="","",'DATA UNIT'!$B29)</f>
        <v>KT 8041 YV</v>
      </c>
      <c r="B546" s="6" t="str">
        <f aca="false">IF($A546="","",INDEX(PlanningItemsList,5))</f>
        <v>Brake Shoe</v>
      </c>
      <c r="C546" s="7"/>
      <c r="D546" s="7"/>
    </row>
    <row r="547" customFormat="false" ht="15" hidden="false" customHeight="false" outlineLevel="0" collapsed="false">
      <c r="A547" s="6" t="str">
        <f aca="false">IF('DATA UNIT'!$B29="","",'DATA UNIT'!$B29)</f>
        <v>KT 8041 YV</v>
      </c>
      <c r="B547" s="6" t="str">
        <f aca="false">IF($A547="","",INDEX(PlanningItemsList,6))</f>
        <v>Accu</v>
      </c>
      <c r="C547" s="7"/>
      <c r="D547" s="7"/>
    </row>
    <row r="548" customFormat="false" ht="15" hidden="false" customHeight="false" outlineLevel="0" collapsed="false">
      <c r="A548" s="6" t="str">
        <f aca="false">IF('DATA UNIT'!$B29="","",'DATA UNIT'!$B29)</f>
        <v>KT 8041 YV</v>
      </c>
      <c r="B548" s="6" t="str">
        <f aca="false">IF($A548="","",INDEX(PlanningItemsList,7))</f>
        <v>Kampas Kopling Set</v>
      </c>
      <c r="C548" s="7"/>
      <c r="D548" s="7"/>
    </row>
    <row r="549" customFormat="false" ht="15" hidden="false" customHeight="false" outlineLevel="0" collapsed="false">
      <c r="A549" s="6" t="str">
        <f aca="false">IF('DATA UNIT'!$B29="","",'DATA UNIT'!$B29)</f>
        <v>KT 8041 YV</v>
      </c>
      <c r="B549" s="6" t="str">
        <f aca="false">IF($A549="","",INDEX(PlanningItemsList,8))</f>
        <v>Wiper Blade</v>
      </c>
      <c r="C549" s="7"/>
      <c r="D549" s="7"/>
    </row>
    <row r="550" customFormat="false" ht="15" hidden="false" customHeight="false" outlineLevel="0" collapsed="false">
      <c r="A550" s="6" t="str">
        <f aca="false">IF('DATA UNIT'!$B29="","",'DATA UNIT'!$B29)</f>
        <v>KT 8041 YV</v>
      </c>
      <c r="B550" s="6" t="str">
        <f aca="false">IF($A550="","",INDEX(PlanningItemsList,9))</f>
        <v>Ban Depan</v>
      </c>
      <c r="C550" s="7"/>
      <c r="D550" s="7"/>
    </row>
    <row r="551" customFormat="false" ht="15" hidden="false" customHeight="false" outlineLevel="0" collapsed="false">
      <c r="A551" s="6" t="str">
        <f aca="false">IF('DATA UNIT'!$B29="","",'DATA UNIT'!$B29)</f>
        <v>KT 8041 YV</v>
      </c>
      <c r="B551" s="6" t="str">
        <f aca="false">IF($A551="","",INDEX(PlanningItemsList,10))</f>
        <v>Ban Belakang</v>
      </c>
      <c r="C551" s="7"/>
      <c r="D551" s="7"/>
    </row>
    <row r="552" customFormat="false" ht="15" hidden="false" customHeight="false" outlineLevel="0" collapsed="false">
      <c r="A552" s="6" t="str">
        <f aca="false">IF('DATA UNIT'!$B29="","",'DATA UNIT'!$B29)</f>
        <v>KT 8041 YV</v>
      </c>
      <c r="B552" s="6" t="str">
        <f aca="false">IF($A552="","",INDEX(PlanningItemsList,11))</f>
        <v>Ban Serep</v>
      </c>
      <c r="C552" s="7"/>
      <c r="D552" s="7"/>
    </row>
    <row r="553" customFormat="false" ht="15" hidden="false" customHeight="false" outlineLevel="0" collapsed="false">
      <c r="A553" s="6" t="str">
        <f aca="false">IF('DATA UNIT'!$B29="","",'DATA UNIT'!$B29)</f>
        <v>KT 8041 YV</v>
      </c>
      <c r="B553" s="6" t="str">
        <f aca="false">IF($A553="","",INDEX(PlanningItemsList,12))</f>
        <v>Greasing</v>
      </c>
      <c r="C553" s="7"/>
      <c r="D553" s="7"/>
    </row>
    <row r="554" customFormat="false" ht="15" hidden="false" customHeight="false" outlineLevel="0" collapsed="false">
      <c r="A554" s="6" t="str">
        <f aca="false">IF('DATA UNIT'!$B29="","",'DATA UNIT'!$B29)</f>
        <v>KT 8041 YV</v>
      </c>
      <c r="B554" s="6" t="str">
        <f aca="false">IF($A554="","",INDEX(PlanningItemsList,13))</f>
        <v>V-Belt</v>
      </c>
      <c r="C554" s="7"/>
      <c r="D554" s="7"/>
    </row>
    <row r="555" customFormat="false" ht="15" hidden="false" customHeight="false" outlineLevel="0" collapsed="false">
      <c r="A555" s="6" t="str">
        <f aca="false">IF('DATA UNIT'!$B29="","",'DATA UNIT'!$B29)</f>
        <v>KT 8041 YV</v>
      </c>
      <c r="B555" s="6" t="str">
        <f aca="false">IF($A555="","",INDEX(PlanningItemsList,14))</f>
        <v>Sarung Jok</v>
      </c>
      <c r="C555" s="7"/>
      <c r="D555" s="7"/>
    </row>
    <row r="556" customFormat="false" ht="15" hidden="false" customHeight="false" outlineLevel="0" collapsed="false">
      <c r="A556" s="6" t="str">
        <f aca="false">IF('DATA UNIT'!$B29="","",'DATA UNIT'!$B29)</f>
        <v>KT 8041 YV</v>
      </c>
      <c r="B556" s="6" t="str">
        <f aca="false">IF($A556="","",INDEX(PlanningItemsList,15))</f>
        <v>Karpet Karet</v>
      </c>
      <c r="C556" s="7"/>
      <c r="D556" s="7"/>
    </row>
    <row r="557" customFormat="false" ht="15" hidden="false" customHeight="false" outlineLevel="0" collapsed="false">
      <c r="A557" s="6" t="str">
        <f aca="false">IF('DATA UNIT'!$B29="","",'DATA UNIT'!$B29)</f>
        <v>KT 8041 YV</v>
      </c>
      <c r="B557" s="6" t="str">
        <f aca="false">IF($A557="","",INDEX(PlanningItemsList,16))</f>
        <v>Karpet Dasar</v>
      </c>
      <c r="C557" s="7"/>
      <c r="D557" s="7"/>
    </row>
    <row r="558" customFormat="false" ht="15" hidden="false" customHeight="false" outlineLevel="0" collapsed="false">
      <c r="A558" s="6" t="str">
        <f aca="false">IF('DATA UNIT'!$B29="","",'DATA UNIT'!$B29)</f>
        <v>KT 8041 YV</v>
      </c>
      <c r="B558" s="6" t="str">
        <f aca="false">IF($A558="","",INDEX(PlanningItemsList,17))</f>
        <v>Flushing Radiator</v>
      </c>
      <c r="C558" s="7"/>
      <c r="D558" s="7"/>
    </row>
    <row r="559" customFormat="false" ht="15" hidden="false" customHeight="false" outlineLevel="0" collapsed="false">
      <c r="A559" s="6" t="str">
        <f aca="false">IF('DATA UNIT'!$B29="","",'DATA UNIT'!$B29)</f>
        <v>KT 8041 YV</v>
      </c>
      <c r="B559" s="6" t="str">
        <f aca="false">IF($A559="","",INDEX(PlanningItemsList,18))</f>
        <v>Flushing Steering</v>
      </c>
      <c r="C559" s="7"/>
      <c r="D559" s="7"/>
    </row>
    <row r="560" customFormat="false" ht="15" hidden="false" customHeight="false" outlineLevel="0" collapsed="false">
      <c r="A560" s="6" t="str">
        <f aca="false">IF('DATA UNIT'!$B29="","",'DATA UNIT'!$B29)</f>
        <v>KT 8041 YV</v>
      </c>
      <c r="B560" s="6" t="str">
        <f aca="false">IF($A560="","",INDEX(PlanningItemsList,19))</f>
        <v>Flushing Injector</v>
      </c>
      <c r="C560" s="7"/>
      <c r="D560" s="7"/>
    </row>
    <row r="561" customFormat="false" ht="15" hidden="false" customHeight="false" outlineLevel="0" collapsed="false">
      <c r="A561" s="6" t="str">
        <f aca="false">IF('DATA UNIT'!$B29="","",'DATA UNIT'!$B29)</f>
        <v>KT 8041 YV</v>
      </c>
      <c r="B561" s="6" t="str">
        <f aca="false">IF($A561="","",INDEX(PlanningItemsList,20))</f>
        <v>Flushing Rem</v>
      </c>
      <c r="C561" s="7"/>
      <c r="D561" s="7"/>
    </row>
    <row r="562" customFormat="false" ht="15" hidden="false" customHeight="false" outlineLevel="0" collapsed="false">
      <c r="A562" s="6" t="str">
        <f aca="false">IF('DATA UNIT'!$B30="","",'DATA UNIT'!$B30)</f>
        <v>KT 8042 YV</v>
      </c>
      <c r="B562" s="6" t="str">
        <f aca="false">IF($A562="","",INDEX(PlanningItemsList,1))</f>
        <v>PM Check / Reguler Services</v>
      </c>
      <c r="C562" s="7"/>
      <c r="D562" s="7"/>
    </row>
    <row r="563" customFormat="false" ht="15" hidden="false" customHeight="false" outlineLevel="0" collapsed="false">
      <c r="A563" s="6" t="str">
        <f aca="false">IF('DATA UNIT'!$B30="","",'DATA UNIT'!$B30)</f>
        <v>KT 8042 YV</v>
      </c>
      <c r="B563" s="6" t="str">
        <f aca="false">IF($A563="","",INDEX(PlanningItemsList,2))</f>
        <v>Service A</v>
      </c>
      <c r="C563" s="7"/>
      <c r="D563" s="7"/>
    </row>
    <row r="564" customFormat="false" ht="15" hidden="false" customHeight="false" outlineLevel="0" collapsed="false">
      <c r="A564" s="6" t="str">
        <f aca="false">IF('DATA UNIT'!$B30="","",'DATA UNIT'!$B30)</f>
        <v>KT 8042 YV</v>
      </c>
      <c r="B564" s="6" t="str">
        <f aca="false">IF($A564="","",INDEX(PlanningItemsList,3))</f>
        <v>Service B</v>
      </c>
      <c r="C564" s="7"/>
      <c r="D564" s="7"/>
    </row>
    <row r="565" customFormat="false" ht="15" hidden="false" customHeight="false" outlineLevel="0" collapsed="false">
      <c r="A565" s="6" t="str">
        <f aca="false">IF('DATA UNIT'!$B30="","",'DATA UNIT'!$B30)</f>
        <v>KT 8042 YV</v>
      </c>
      <c r="B565" s="6" t="str">
        <f aca="false">IF($A565="","",INDEX(PlanningItemsList,4))</f>
        <v>Brake Pad</v>
      </c>
      <c r="C565" s="7"/>
      <c r="D565" s="7"/>
    </row>
    <row r="566" customFormat="false" ht="15" hidden="false" customHeight="false" outlineLevel="0" collapsed="false">
      <c r="A566" s="6" t="str">
        <f aca="false">IF('DATA UNIT'!$B30="","",'DATA UNIT'!$B30)</f>
        <v>KT 8042 YV</v>
      </c>
      <c r="B566" s="6" t="str">
        <f aca="false">IF($A566="","",INDEX(PlanningItemsList,5))</f>
        <v>Brake Shoe</v>
      </c>
      <c r="C566" s="7"/>
      <c r="D566" s="7"/>
    </row>
    <row r="567" customFormat="false" ht="15" hidden="false" customHeight="false" outlineLevel="0" collapsed="false">
      <c r="A567" s="6" t="str">
        <f aca="false">IF('DATA UNIT'!$B30="","",'DATA UNIT'!$B30)</f>
        <v>KT 8042 YV</v>
      </c>
      <c r="B567" s="6" t="str">
        <f aca="false">IF($A567="","",INDEX(PlanningItemsList,6))</f>
        <v>Accu</v>
      </c>
      <c r="C567" s="7"/>
      <c r="D567" s="7"/>
    </row>
    <row r="568" customFormat="false" ht="15" hidden="false" customHeight="false" outlineLevel="0" collapsed="false">
      <c r="A568" s="6" t="str">
        <f aca="false">IF('DATA UNIT'!$B30="","",'DATA UNIT'!$B30)</f>
        <v>KT 8042 YV</v>
      </c>
      <c r="B568" s="6" t="str">
        <f aca="false">IF($A568="","",INDEX(PlanningItemsList,7))</f>
        <v>Kampas Kopling Set</v>
      </c>
      <c r="C568" s="7"/>
      <c r="D568" s="7"/>
    </row>
    <row r="569" customFormat="false" ht="15" hidden="false" customHeight="false" outlineLevel="0" collapsed="false">
      <c r="A569" s="6" t="str">
        <f aca="false">IF('DATA UNIT'!$B30="","",'DATA UNIT'!$B30)</f>
        <v>KT 8042 YV</v>
      </c>
      <c r="B569" s="6" t="str">
        <f aca="false">IF($A569="","",INDEX(PlanningItemsList,8))</f>
        <v>Wiper Blade</v>
      </c>
      <c r="C569" s="7"/>
      <c r="D569" s="7"/>
    </row>
    <row r="570" customFormat="false" ht="15" hidden="false" customHeight="false" outlineLevel="0" collapsed="false">
      <c r="A570" s="6" t="str">
        <f aca="false">IF('DATA UNIT'!$B30="","",'DATA UNIT'!$B30)</f>
        <v>KT 8042 YV</v>
      </c>
      <c r="B570" s="6" t="str">
        <f aca="false">IF($A570="","",INDEX(PlanningItemsList,9))</f>
        <v>Ban Depan</v>
      </c>
      <c r="C570" s="7"/>
      <c r="D570" s="7"/>
    </row>
    <row r="571" customFormat="false" ht="15" hidden="false" customHeight="false" outlineLevel="0" collapsed="false">
      <c r="A571" s="6" t="str">
        <f aca="false">IF('DATA UNIT'!$B30="","",'DATA UNIT'!$B30)</f>
        <v>KT 8042 YV</v>
      </c>
      <c r="B571" s="6" t="str">
        <f aca="false">IF($A571="","",INDEX(PlanningItemsList,10))</f>
        <v>Ban Belakang</v>
      </c>
      <c r="C571" s="7"/>
      <c r="D571" s="7"/>
    </row>
    <row r="572" customFormat="false" ht="15" hidden="false" customHeight="false" outlineLevel="0" collapsed="false">
      <c r="A572" s="6" t="str">
        <f aca="false">IF('DATA UNIT'!$B30="","",'DATA UNIT'!$B30)</f>
        <v>KT 8042 YV</v>
      </c>
      <c r="B572" s="6" t="str">
        <f aca="false">IF($A572="","",INDEX(PlanningItemsList,11))</f>
        <v>Ban Serep</v>
      </c>
      <c r="C572" s="7"/>
      <c r="D572" s="7"/>
    </row>
    <row r="573" customFormat="false" ht="15" hidden="false" customHeight="false" outlineLevel="0" collapsed="false">
      <c r="A573" s="6" t="str">
        <f aca="false">IF('DATA UNIT'!$B30="","",'DATA UNIT'!$B30)</f>
        <v>KT 8042 YV</v>
      </c>
      <c r="B573" s="6" t="str">
        <f aca="false">IF($A573="","",INDEX(PlanningItemsList,12))</f>
        <v>Greasing</v>
      </c>
      <c r="C573" s="7"/>
      <c r="D573" s="7"/>
    </row>
    <row r="574" customFormat="false" ht="15" hidden="false" customHeight="false" outlineLevel="0" collapsed="false">
      <c r="A574" s="6" t="str">
        <f aca="false">IF('DATA UNIT'!$B30="","",'DATA UNIT'!$B30)</f>
        <v>KT 8042 YV</v>
      </c>
      <c r="B574" s="6" t="str">
        <f aca="false">IF($A574="","",INDEX(PlanningItemsList,13))</f>
        <v>V-Belt</v>
      </c>
      <c r="C574" s="7"/>
      <c r="D574" s="7"/>
    </row>
    <row r="575" customFormat="false" ht="15" hidden="false" customHeight="false" outlineLevel="0" collapsed="false">
      <c r="A575" s="6" t="str">
        <f aca="false">IF('DATA UNIT'!$B30="","",'DATA UNIT'!$B30)</f>
        <v>KT 8042 YV</v>
      </c>
      <c r="B575" s="6" t="str">
        <f aca="false">IF($A575="","",INDEX(PlanningItemsList,14))</f>
        <v>Sarung Jok</v>
      </c>
      <c r="C575" s="7"/>
      <c r="D575" s="7"/>
    </row>
    <row r="576" customFormat="false" ht="15" hidden="false" customHeight="false" outlineLevel="0" collapsed="false">
      <c r="A576" s="6" t="str">
        <f aca="false">IF('DATA UNIT'!$B30="","",'DATA UNIT'!$B30)</f>
        <v>KT 8042 YV</v>
      </c>
      <c r="B576" s="6" t="str">
        <f aca="false">IF($A576="","",INDEX(PlanningItemsList,15))</f>
        <v>Karpet Karet</v>
      </c>
      <c r="C576" s="7"/>
      <c r="D576" s="7"/>
    </row>
    <row r="577" customFormat="false" ht="15" hidden="false" customHeight="false" outlineLevel="0" collapsed="false">
      <c r="A577" s="6" t="str">
        <f aca="false">IF('DATA UNIT'!$B30="","",'DATA UNIT'!$B30)</f>
        <v>KT 8042 YV</v>
      </c>
      <c r="B577" s="6" t="str">
        <f aca="false">IF($A577="","",INDEX(PlanningItemsList,16))</f>
        <v>Karpet Dasar</v>
      </c>
      <c r="C577" s="7"/>
      <c r="D577" s="7"/>
    </row>
    <row r="578" customFormat="false" ht="15" hidden="false" customHeight="false" outlineLevel="0" collapsed="false">
      <c r="A578" s="6" t="str">
        <f aca="false">IF('DATA UNIT'!$B30="","",'DATA UNIT'!$B30)</f>
        <v>KT 8042 YV</v>
      </c>
      <c r="B578" s="6" t="str">
        <f aca="false">IF($A578="","",INDEX(PlanningItemsList,17))</f>
        <v>Flushing Radiator</v>
      </c>
      <c r="C578" s="7"/>
      <c r="D578" s="7"/>
    </row>
    <row r="579" customFormat="false" ht="15" hidden="false" customHeight="false" outlineLevel="0" collapsed="false">
      <c r="A579" s="6" t="str">
        <f aca="false">IF('DATA UNIT'!$B30="","",'DATA UNIT'!$B30)</f>
        <v>KT 8042 YV</v>
      </c>
      <c r="B579" s="6" t="str">
        <f aca="false">IF($A579="","",INDEX(PlanningItemsList,18))</f>
        <v>Flushing Steering</v>
      </c>
      <c r="C579" s="7"/>
      <c r="D579" s="7"/>
    </row>
    <row r="580" customFormat="false" ht="15" hidden="false" customHeight="false" outlineLevel="0" collapsed="false">
      <c r="A580" s="6" t="str">
        <f aca="false">IF('DATA UNIT'!$B30="","",'DATA UNIT'!$B30)</f>
        <v>KT 8042 YV</v>
      </c>
      <c r="B580" s="6" t="str">
        <f aca="false">IF($A580="","",INDEX(PlanningItemsList,19))</f>
        <v>Flushing Injector</v>
      </c>
      <c r="C580" s="7"/>
      <c r="D580" s="7"/>
    </row>
    <row r="581" customFormat="false" ht="15" hidden="false" customHeight="false" outlineLevel="0" collapsed="false">
      <c r="A581" s="6" t="str">
        <f aca="false">IF('DATA UNIT'!$B30="","",'DATA UNIT'!$B30)</f>
        <v>KT 8042 YV</v>
      </c>
      <c r="B581" s="6" t="str">
        <f aca="false">IF($A581="","",INDEX(PlanningItemsList,20))</f>
        <v>Flushing Rem</v>
      </c>
      <c r="C581" s="7"/>
      <c r="D581" s="7"/>
    </row>
    <row r="582" customFormat="false" ht="15" hidden="false" customHeight="false" outlineLevel="0" collapsed="false">
      <c r="A582" s="6" t="str">
        <f aca="false">IF('DATA UNIT'!$B31="","",'DATA UNIT'!$B31)</f>
        <v>KT 8322 YV</v>
      </c>
      <c r="B582" s="6" t="str">
        <f aca="false">IF($A582="","",INDEX(PlanningItemsList,1))</f>
        <v>PM Check / Reguler Services</v>
      </c>
      <c r="C582" s="7"/>
      <c r="D582" s="7"/>
    </row>
    <row r="583" customFormat="false" ht="15" hidden="false" customHeight="false" outlineLevel="0" collapsed="false">
      <c r="A583" s="6" t="str">
        <f aca="false">IF('DATA UNIT'!$B31="","",'DATA UNIT'!$B31)</f>
        <v>KT 8322 YV</v>
      </c>
      <c r="B583" s="6" t="str">
        <f aca="false">IF($A583="","",INDEX(PlanningItemsList,2))</f>
        <v>Service A</v>
      </c>
      <c r="C583" s="7"/>
      <c r="D583" s="7"/>
    </row>
    <row r="584" customFormat="false" ht="15" hidden="false" customHeight="false" outlineLevel="0" collapsed="false">
      <c r="A584" s="6" t="str">
        <f aca="false">IF('DATA UNIT'!$B31="","",'DATA UNIT'!$B31)</f>
        <v>KT 8322 YV</v>
      </c>
      <c r="B584" s="6" t="str">
        <f aca="false">IF($A584="","",INDEX(PlanningItemsList,3))</f>
        <v>Service B</v>
      </c>
      <c r="C584" s="7"/>
      <c r="D584" s="7"/>
    </row>
    <row r="585" customFormat="false" ht="15" hidden="false" customHeight="false" outlineLevel="0" collapsed="false">
      <c r="A585" s="6" t="str">
        <f aca="false">IF('DATA UNIT'!$B31="","",'DATA UNIT'!$B31)</f>
        <v>KT 8322 YV</v>
      </c>
      <c r="B585" s="6" t="str">
        <f aca="false">IF($A585="","",INDEX(PlanningItemsList,4))</f>
        <v>Brake Pad</v>
      </c>
      <c r="C585" s="7"/>
      <c r="D585" s="7"/>
    </row>
    <row r="586" customFormat="false" ht="15" hidden="false" customHeight="false" outlineLevel="0" collapsed="false">
      <c r="A586" s="6" t="str">
        <f aca="false">IF('DATA UNIT'!$B31="","",'DATA UNIT'!$B31)</f>
        <v>KT 8322 YV</v>
      </c>
      <c r="B586" s="6" t="str">
        <f aca="false">IF($A586="","",INDEX(PlanningItemsList,5))</f>
        <v>Brake Shoe</v>
      </c>
      <c r="C586" s="7"/>
      <c r="D586" s="7"/>
    </row>
    <row r="587" customFormat="false" ht="15" hidden="false" customHeight="false" outlineLevel="0" collapsed="false">
      <c r="A587" s="6" t="str">
        <f aca="false">IF('DATA UNIT'!$B31="","",'DATA UNIT'!$B31)</f>
        <v>KT 8322 YV</v>
      </c>
      <c r="B587" s="6" t="str">
        <f aca="false">IF($A587="","",INDEX(PlanningItemsList,6))</f>
        <v>Accu</v>
      </c>
      <c r="C587" s="7"/>
      <c r="D587" s="7"/>
    </row>
    <row r="588" customFormat="false" ht="15" hidden="false" customHeight="false" outlineLevel="0" collapsed="false">
      <c r="A588" s="6" t="str">
        <f aca="false">IF('DATA UNIT'!$B31="","",'DATA UNIT'!$B31)</f>
        <v>KT 8322 YV</v>
      </c>
      <c r="B588" s="6" t="str">
        <f aca="false">IF($A588="","",INDEX(PlanningItemsList,7))</f>
        <v>Kampas Kopling Set</v>
      </c>
      <c r="C588" s="7"/>
      <c r="D588" s="7"/>
    </row>
    <row r="589" customFormat="false" ht="15" hidden="false" customHeight="false" outlineLevel="0" collapsed="false">
      <c r="A589" s="6" t="str">
        <f aca="false">IF('DATA UNIT'!$B31="","",'DATA UNIT'!$B31)</f>
        <v>KT 8322 YV</v>
      </c>
      <c r="B589" s="6" t="str">
        <f aca="false">IF($A589="","",INDEX(PlanningItemsList,8))</f>
        <v>Wiper Blade</v>
      </c>
      <c r="C589" s="7"/>
      <c r="D589" s="7"/>
    </row>
    <row r="590" customFormat="false" ht="15" hidden="false" customHeight="false" outlineLevel="0" collapsed="false">
      <c r="A590" s="6" t="str">
        <f aca="false">IF('DATA UNIT'!$B31="","",'DATA UNIT'!$B31)</f>
        <v>KT 8322 YV</v>
      </c>
      <c r="B590" s="6" t="str">
        <f aca="false">IF($A590="","",INDEX(PlanningItemsList,9))</f>
        <v>Ban Depan</v>
      </c>
      <c r="C590" s="7"/>
      <c r="D590" s="7"/>
    </row>
    <row r="591" customFormat="false" ht="15" hidden="false" customHeight="false" outlineLevel="0" collapsed="false">
      <c r="A591" s="6" t="str">
        <f aca="false">IF('DATA UNIT'!$B31="","",'DATA UNIT'!$B31)</f>
        <v>KT 8322 YV</v>
      </c>
      <c r="B591" s="6" t="str">
        <f aca="false">IF($A591="","",INDEX(PlanningItemsList,10))</f>
        <v>Ban Belakang</v>
      </c>
      <c r="C591" s="7"/>
      <c r="D591" s="7"/>
    </row>
    <row r="592" customFormat="false" ht="15" hidden="false" customHeight="false" outlineLevel="0" collapsed="false">
      <c r="A592" s="6" t="str">
        <f aca="false">IF('DATA UNIT'!$B31="","",'DATA UNIT'!$B31)</f>
        <v>KT 8322 YV</v>
      </c>
      <c r="B592" s="6" t="str">
        <f aca="false">IF($A592="","",INDEX(PlanningItemsList,11))</f>
        <v>Ban Serep</v>
      </c>
      <c r="C592" s="7"/>
      <c r="D592" s="7"/>
    </row>
    <row r="593" customFormat="false" ht="15" hidden="false" customHeight="false" outlineLevel="0" collapsed="false">
      <c r="A593" s="6" t="str">
        <f aca="false">IF('DATA UNIT'!$B31="","",'DATA UNIT'!$B31)</f>
        <v>KT 8322 YV</v>
      </c>
      <c r="B593" s="6" t="str">
        <f aca="false">IF($A593="","",INDEX(PlanningItemsList,12))</f>
        <v>Greasing</v>
      </c>
      <c r="C593" s="7"/>
      <c r="D593" s="7"/>
    </row>
    <row r="594" customFormat="false" ht="15" hidden="false" customHeight="false" outlineLevel="0" collapsed="false">
      <c r="A594" s="6" t="str">
        <f aca="false">IF('DATA UNIT'!$B31="","",'DATA UNIT'!$B31)</f>
        <v>KT 8322 YV</v>
      </c>
      <c r="B594" s="6" t="str">
        <f aca="false">IF($A594="","",INDEX(PlanningItemsList,13))</f>
        <v>V-Belt</v>
      </c>
      <c r="C594" s="7"/>
      <c r="D594" s="7"/>
    </row>
    <row r="595" customFormat="false" ht="15" hidden="false" customHeight="false" outlineLevel="0" collapsed="false">
      <c r="A595" s="6" t="str">
        <f aca="false">IF('DATA UNIT'!$B31="","",'DATA UNIT'!$B31)</f>
        <v>KT 8322 YV</v>
      </c>
      <c r="B595" s="6" t="str">
        <f aca="false">IF($A595="","",INDEX(PlanningItemsList,14))</f>
        <v>Sarung Jok</v>
      </c>
      <c r="C595" s="7"/>
      <c r="D595" s="7"/>
    </row>
    <row r="596" customFormat="false" ht="15" hidden="false" customHeight="false" outlineLevel="0" collapsed="false">
      <c r="A596" s="6" t="str">
        <f aca="false">IF('DATA UNIT'!$B31="","",'DATA UNIT'!$B31)</f>
        <v>KT 8322 YV</v>
      </c>
      <c r="B596" s="6" t="str">
        <f aca="false">IF($A596="","",INDEX(PlanningItemsList,15))</f>
        <v>Karpet Karet</v>
      </c>
      <c r="C596" s="7"/>
      <c r="D596" s="7"/>
    </row>
    <row r="597" customFormat="false" ht="15" hidden="false" customHeight="false" outlineLevel="0" collapsed="false">
      <c r="A597" s="6" t="str">
        <f aca="false">IF('DATA UNIT'!$B31="","",'DATA UNIT'!$B31)</f>
        <v>KT 8322 YV</v>
      </c>
      <c r="B597" s="6" t="str">
        <f aca="false">IF($A597="","",INDEX(PlanningItemsList,16))</f>
        <v>Karpet Dasar</v>
      </c>
      <c r="C597" s="7"/>
      <c r="D597" s="7"/>
    </row>
    <row r="598" customFormat="false" ht="15" hidden="false" customHeight="false" outlineLevel="0" collapsed="false">
      <c r="A598" s="6" t="str">
        <f aca="false">IF('DATA UNIT'!$B31="","",'DATA UNIT'!$B31)</f>
        <v>KT 8322 YV</v>
      </c>
      <c r="B598" s="6" t="str">
        <f aca="false">IF($A598="","",INDEX(PlanningItemsList,17))</f>
        <v>Flushing Radiator</v>
      </c>
      <c r="C598" s="7"/>
      <c r="D598" s="7"/>
    </row>
    <row r="599" customFormat="false" ht="15" hidden="false" customHeight="false" outlineLevel="0" collapsed="false">
      <c r="A599" s="6" t="str">
        <f aca="false">IF('DATA UNIT'!$B31="","",'DATA UNIT'!$B31)</f>
        <v>KT 8322 YV</v>
      </c>
      <c r="B599" s="6" t="str">
        <f aca="false">IF($A599="","",INDEX(PlanningItemsList,18))</f>
        <v>Flushing Steering</v>
      </c>
      <c r="C599" s="7"/>
      <c r="D599" s="7"/>
    </row>
    <row r="600" customFormat="false" ht="15" hidden="false" customHeight="false" outlineLevel="0" collapsed="false">
      <c r="A600" s="6" t="str">
        <f aca="false">IF('DATA UNIT'!$B31="","",'DATA UNIT'!$B31)</f>
        <v>KT 8322 YV</v>
      </c>
      <c r="B600" s="6" t="str">
        <f aca="false">IF($A600="","",INDEX(PlanningItemsList,19))</f>
        <v>Flushing Injector</v>
      </c>
      <c r="C600" s="7"/>
      <c r="D600" s="7"/>
    </row>
    <row r="601" customFormat="false" ht="15" hidden="false" customHeight="false" outlineLevel="0" collapsed="false">
      <c r="A601" s="6" t="str">
        <f aca="false">IF('DATA UNIT'!$B31="","",'DATA UNIT'!$B31)</f>
        <v>KT 8322 YV</v>
      </c>
      <c r="B601" s="6" t="str">
        <f aca="false">IF($A601="","",INDEX(PlanningItemsList,20))</f>
        <v>Flushing Rem</v>
      </c>
      <c r="C601" s="7"/>
      <c r="D601" s="7"/>
    </row>
    <row r="602" customFormat="false" ht="15" hidden="false" customHeight="false" outlineLevel="0" collapsed="false">
      <c r="A602" s="6" t="str">
        <f aca="false">IF('DATA UNIT'!$B32="","",'DATA UNIT'!$B32)</f>
        <v>B 2468 UZT</v>
      </c>
      <c r="B602" s="6" t="str">
        <f aca="false">IF($A602="","",INDEX(PlanningItemsList,1))</f>
        <v>PM Check / Reguler Services</v>
      </c>
      <c r="C602" s="7"/>
      <c r="D602" s="7"/>
    </row>
    <row r="603" customFormat="false" ht="15" hidden="false" customHeight="false" outlineLevel="0" collapsed="false">
      <c r="A603" s="6" t="str">
        <f aca="false">IF('DATA UNIT'!$B32="","",'DATA UNIT'!$B32)</f>
        <v>B 2468 UZT</v>
      </c>
      <c r="B603" s="6" t="str">
        <f aca="false">IF($A603="","",INDEX(PlanningItemsList,2))</f>
        <v>Service A</v>
      </c>
      <c r="C603" s="7"/>
      <c r="D603" s="7"/>
    </row>
    <row r="604" customFormat="false" ht="15" hidden="false" customHeight="false" outlineLevel="0" collapsed="false">
      <c r="A604" s="6" t="str">
        <f aca="false">IF('DATA UNIT'!$B32="","",'DATA UNIT'!$B32)</f>
        <v>B 2468 UZT</v>
      </c>
      <c r="B604" s="6" t="str">
        <f aca="false">IF($A604="","",INDEX(PlanningItemsList,3))</f>
        <v>Service B</v>
      </c>
      <c r="C604" s="7"/>
      <c r="D604" s="7"/>
    </row>
    <row r="605" customFormat="false" ht="15" hidden="false" customHeight="false" outlineLevel="0" collapsed="false">
      <c r="A605" s="6" t="str">
        <f aca="false">IF('DATA UNIT'!$B32="","",'DATA UNIT'!$B32)</f>
        <v>B 2468 UZT</v>
      </c>
      <c r="B605" s="6" t="str">
        <f aca="false">IF($A605="","",INDEX(PlanningItemsList,4))</f>
        <v>Brake Pad</v>
      </c>
      <c r="C605" s="7"/>
      <c r="D605" s="7"/>
    </row>
    <row r="606" customFormat="false" ht="15" hidden="false" customHeight="false" outlineLevel="0" collapsed="false">
      <c r="A606" s="6" t="str">
        <f aca="false">IF('DATA UNIT'!$B32="","",'DATA UNIT'!$B32)</f>
        <v>B 2468 UZT</v>
      </c>
      <c r="B606" s="6" t="str">
        <f aca="false">IF($A606="","",INDEX(PlanningItemsList,5))</f>
        <v>Brake Shoe</v>
      </c>
      <c r="C606" s="7"/>
      <c r="D606" s="7"/>
    </row>
    <row r="607" customFormat="false" ht="15" hidden="false" customHeight="false" outlineLevel="0" collapsed="false">
      <c r="A607" s="6" t="str">
        <f aca="false">IF('DATA UNIT'!$B32="","",'DATA UNIT'!$B32)</f>
        <v>B 2468 UZT</v>
      </c>
      <c r="B607" s="6" t="str">
        <f aca="false">IF($A607="","",INDEX(PlanningItemsList,6))</f>
        <v>Accu</v>
      </c>
      <c r="C607" s="7"/>
      <c r="D607" s="7"/>
    </row>
    <row r="608" customFormat="false" ht="15" hidden="false" customHeight="false" outlineLevel="0" collapsed="false">
      <c r="A608" s="6" t="str">
        <f aca="false">IF('DATA UNIT'!$B32="","",'DATA UNIT'!$B32)</f>
        <v>B 2468 UZT</v>
      </c>
      <c r="B608" s="6" t="str">
        <f aca="false">IF($A608="","",INDEX(PlanningItemsList,7))</f>
        <v>Kampas Kopling Set</v>
      </c>
      <c r="C608" s="7"/>
      <c r="D608" s="7"/>
    </row>
    <row r="609" customFormat="false" ht="15" hidden="false" customHeight="false" outlineLevel="0" collapsed="false">
      <c r="A609" s="6" t="str">
        <f aca="false">IF('DATA UNIT'!$B32="","",'DATA UNIT'!$B32)</f>
        <v>B 2468 UZT</v>
      </c>
      <c r="B609" s="6" t="str">
        <f aca="false">IF($A609="","",INDEX(PlanningItemsList,8))</f>
        <v>Wiper Blade</v>
      </c>
      <c r="C609" s="7"/>
      <c r="D609" s="7"/>
    </row>
    <row r="610" customFormat="false" ht="15" hidden="false" customHeight="false" outlineLevel="0" collapsed="false">
      <c r="A610" s="6" t="str">
        <f aca="false">IF('DATA UNIT'!$B32="","",'DATA UNIT'!$B32)</f>
        <v>B 2468 UZT</v>
      </c>
      <c r="B610" s="6" t="str">
        <f aca="false">IF($A610="","",INDEX(PlanningItemsList,9))</f>
        <v>Ban Depan</v>
      </c>
      <c r="C610" s="7"/>
      <c r="D610" s="7"/>
    </row>
    <row r="611" customFormat="false" ht="15" hidden="false" customHeight="false" outlineLevel="0" collapsed="false">
      <c r="A611" s="6" t="str">
        <f aca="false">IF('DATA UNIT'!$B32="","",'DATA UNIT'!$B32)</f>
        <v>B 2468 UZT</v>
      </c>
      <c r="B611" s="6" t="str">
        <f aca="false">IF($A611="","",INDEX(PlanningItemsList,10))</f>
        <v>Ban Belakang</v>
      </c>
      <c r="C611" s="7"/>
      <c r="D611" s="7"/>
    </row>
    <row r="612" customFormat="false" ht="15" hidden="false" customHeight="false" outlineLevel="0" collapsed="false">
      <c r="A612" s="6" t="str">
        <f aca="false">IF('DATA UNIT'!$B32="","",'DATA UNIT'!$B32)</f>
        <v>B 2468 UZT</v>
      </c>
      <c r="B612" s="6" t="str">
        <f aca="false">IF($A612="","",INDEX(PlanningItemsList,11))</f>
        <v>Ban Serep</v>
      </c>
      <c r="C612" s="7"/>
      <c r="D612" s="7"/>
    </row>
    <row r="613" customFormat="false" ht="15" hidden="false" customHeight="false" outlineLevel="0" collapsed="false">
      <c r="A613" s="6" t="str">
        <f aca="false">IF('DATA UNIT'!$B32="","",'DATA UNIT'!$B32)</f>
        <v>B 2468 UZT</v>
      </c>
      <c r="B613" s="6" t="str">
        <f aca="false">IF($A613="","",INDEX(PlanningItemsList,12))</f>
        <v>Greasing</v>
      </c>
      <c r="C613" s="7"/>
      <c r="D613" s="7"/>
    </row>
    <row r="614" customFormat="false" ht="15" hidden="false" customHeight="false" outlineLevel="0" collapsed="false">
      <c r="A614" s="6" t="str">
        <f aca="false">IF('DATA UNIT'!$B32="","",'DATA UNIT'!$B32)</f>
        <v>B 2468 UZT</v>
      </c>
      <c r="B614" s="6" t="str">
        <f aca="false">IF($A614="","",INDEX(PlanningItemsList,13))</f>
        <v>V-Belt</v>
      </c>
      <c r="C614" s="7"/>
      <c r="D614" s="7"/>
    </row>
    <row r="615" customFormat="false" ht="15" hidden="false" customHeight="false" outlineLevel="0" collapsed="false">
      <c r="A615" s="6" t="str">
        <f aca="false">IF('DATA UNIT'!$B32="","",'DATA UNIT'!$B32)</f>
        <v>B 2468 UZT</v>
      </c>
      <c r="B615" s="6" t="str">
        <f aca="false">IF($A615="","",INDEX(PlanningItemsList,14))</f>
        <v>Sarung Jok</v>
      </c>
      <c r="C615" s="7"/>
      <c r="D615" s="7"/>
    </row>
    <row r="616" customFormat="false" ht="15" hidden="false" customHeight="false" outlineLevel="0" collapsed="false">
      <c r="A616" s="6" t="str">
        <f aca="false">IF('DATA UNIT'!$B32="","",'DATA UNIT'!$B32)</f>
        <v>B 2468 UZT</v>
      </c>
      <c r="B616" s="6" t="str">
        <f aca="false">IF($A616="","",INDEX(PlanningItemsList,15))</f>
        <v>Karpet Karet</v>
      </c>
      <c r="C616" s="7"/>
      <c r="D616" s="7"/>
    </row>
    <row r="617" customFormat="false" ht="15" hidden="false" customHeight="false" outlineLevel="0" collapsed="false">
      <c r="A617" s="6" t="str">
        <f aca="false">IF('DATA UNIT'!$B32="","",'DATA UNIT'!$B32)</f>
        <v>B 2468 UZT</v>
      </c>
      <c r="B617" s="6" t="str">
        <f aca="false">IF($A617="","",INDEX(PlanningItemsList,16))</f>
        <v>Karpet Dasar</v>
      </c>
      <c r="C617" s="7"/>
      <c r="D617" s="7"/>
    </row>
    <row r="618" customFormat="false" ht="15" hidden="false" customHeight="false" outlineLevel="0" collapsed="false">
      <c r="A618" s="6" t="str">
        <f aca="false">IF('DATA UNIT'!$B32="","",'DATA UNIT'!$B32)</f>
        <v>B 2468 UZT</v>
      </c>
      <c r="B618" s="6" t="str">
        <f aca="false">IF($A618="","",INDEX(PlanningItemsList,17))</f>
        <v>Flushing Radiator</v>
      </c>
      <c r="C618" s="7"/>
      <c r="D618" s="7"/>
    </row>
    <row r="619" customFormat="false" ht="15" hidden="false" customHeight="false" outlineLevel="0" collapsed="false">
      <c r="A619" s="6" t="str">
        <f aca="false">IF('DATA UNIT'!$B32="","",'DATA UNIT'!$B32)</f>
        <v>B 2468 UZT</v>
      </c>
      <c r="B619" s="6" t="str">
        <f aca="false">IF($A619="","",INDEX(PlanningItemsList,18))</f>
        <v>Flushing Steering</v>
      </c>
      <c r="C619" s="7"/>
      <c r="D619" s="7"/>
    </row>
    <row r="620" customFormat="false" ht="15" hidden="false" customHeight="false" outlineLevel="0" collapsed="false">
      <c r="A620" s="6" t="str">
        <f aca="false">IF('DATA UNIT'!$B32="","",'DATA UNIT'!$B32)</f>
        <v>B 2468 UZT</v>
      </c>
      <c r="B620" s="6" t="str">
        <f aca="false">IF($A620="","",INDEX(PlanningItemsList,19))</f>
        <v>Flushing Injector</v>
      </c>
      <c r="C620" s="7"/>
      <c r="D620" s="7"/>
    </row>
    <row r="621" customFormat="false" ht="15" hidden="false" customHeight="false" outlineLevel="0" collapsed="false">
      <c r="A621" s="6" t="str">
        <f aca="false">IF('DATA UNIT'!$B32="","",'DATA UNIT'!$B32)</f>
        <v>B 2468 UZT</v>
      </c>
      <c r="B621" s="6" t="str">
        <f aca="false">IF($A621="","",INDEX(PlanningItemsList,20))</f>
        <v>Flushing Rem</v>
      </c>
      <c r="C621" s="7"/>
      <c r="D621" s="7"/>
    </row>
    <row r="622" customFormat="false" ht="15" hidden="false" customHeight="false" outlineLevel="0" collapsed="false">
      <c r="A622" s="6" t="str">
        <f aca="false">IF('DATA UNIT'!$B33="","",'DATA UNIT'!$B33)</f>
        <v>KT 8417 YS</v>
      </c>
      <c r="B622" s="6" t="str">
        <f aca="false">IF($A622="","",INDEX(PlanningItemsList,1))</f>
        <v>PM Check / Reguler Services</v>
      </c>
      <c r="C622" s="7"/>
      <c r="D622" s="7"/>
    </row>
    <row r="623" customFormat="false" ht="15" hidden="false" customHeight="false" outlineLevel="0" collapsed="false">
      <c r="A623" s="6" t="str">
        <f aca="false">IF('DATA UNIT'!$B33="","",'DATA UNIT'!$B33)</f>
        <v>KT 8417 YS</v>
      </c>
      <c r="B623" s="6" t="str">
        <f aca="false">IF($A623="","",INDEX(PlanningItemsList,2))</f>
        <v>Service A</v>
      </c>
      <c r="C623" s="7"/>
      <c r="D623" s="7"/>
    </row>
    <row r="624" customFormat="false" ht="15" hidden="false" customHeight="false" outlineLevel="0" collapsed="false">
      <c r="A624" s="6" t="str">
        <f aca="false">IF('DATA UNIT'!$B33="","",'DATA UNIT'!$B33)</f>
        <v>KT 8417 YS</v>
      </c>
      <c r="B624" s="6" t="str">
        <f aca="false">IF($A624="","",INDEX(PlanningItemsList,3))</f>
        <v>Service B</v>
      </c>
      <c r="C624" s="7"/>
      <c r="D624" s="7"/>
    </row>
    <row r="625" customFormat="false" ht="15" hidden="false" customHeight="false" outlineLevel="0" collapsed="false">
      <c r="A625" s="6" t="str">
        <f aca="false">IF('DATA UNIT'!$B33="","",'DATA UNIT'!$B33)</f>
        <v>KT 8417 YS</v>
      </c>
      <c r="B625" s="6" t="str">
        <f aca="false">IF($A625="","",INDEX(PlanningItemsList,4))</f>
        <v>Brake Pad</v>
      </c>
      <c r="C625" s="7"/>
      <c r="D625" s="7"/>
    </row>
    <row r="626" customFormat="false" ht="15" hidden="false" customHeight="false" outlineLevel="0" collapsed="false">
      <c r="A626" s="6" t="str">
        <f aca="false">IF('DATA UNIT'!$B33="","",'DATA UNIT'!$B33)</f>
        <v>KT 8417 YS</v>
      </c>
      <c r="B626" s="6" t="str">
        <f aca="false">IF($A626="","",INDEX(PlanningItemsList,5))</f>
        <v>Brake Shoe</v>
      </c>
      <c r="C626" s="7"/>
      <c r="D626" s="7"/>
    </row>
    <row r="627" customFormat="false" ht="15" hidden="false" customHeight="false" outlineLevel="0" collapsed="false">
      <c r="A627" s="6" t="str">
        <f aca="false">IF('DATA UNIT'!$B33="","",'DATA UNIT'!$B33)</f>
        <v>KT 8417 YS</v>
      </c>
      <c r="B627" s="6" t="str">
        <f aca="false">IF($A627="","",INDEX(PlanningItemsList,6))</f>
        <v>Accu</v>
      </c>
      <c r="C627" s="7"/>
      <c r="D627" s="7"/>
    </row>
    <row r="628" customFormat="false" ht="15" hidden="false" customHeight="false" outlineLevel="0" collapsed="false">
      <c r="A628" s="6" t="str">
        <f aca="false">IF('DATA UNIT'!$B33="","",'DATA UNIT'!$B33)</f>
        <v>KT 8417 YS</v>
      </c>
      <c r="B628" s="6" t="str">
        <f aca="false">IF($A628="","",INDEX(PlanningItemsList,7))</f>
        <v>Kampas Kopling Set</v>
      </c>
      <c r="C628" s="7"/>
      <c r="D628" s="7"/>
    </row>
    <row r="629" customFormat="false" ht="15" hidden="false" customHeight="false" outlineLevel="0" collapsed="false">
      <c r="A629" s="6" t="str">
        <f aca="false">IF('DATA UNIT'!$B33="","",'DATA UNIT'!$B33)</f>
        <v>KT 8417 YS</v>
      </c>
      <c r="B629" s="6" t="str">
        <f aca="false">IF($A629="","",INDEX(PlanningItemsList,8))</f>
        <v>Wiper Blade</v>
      </c>
      <c r="C629" s="7"/>
      <c r="D629" s="7"/>
    </row>
    <row r="630" customFormat="false" ht="15" hidden="false" customHeight="false" outlineLevel="0" collapsed="false">
      <c r="A630" s="6" t="str">
        <f aca="false">IF('DATA UNIT'!$B33="","",'DATA UNIT'!$B33)</f>
        <v>KT 8417 YS</v>
      </c>
      <c r="B630" s="6" t="str">
        <f aca="false">IF($A630="","",INDEX(PlanningItemsList,9))</f>
        <v>Ban Depan</v>
      </c>
      <c r="C630" s="7"/>
      <c r="D630" s="7"/>
    </row>
    <row r="631" customFormat="false" ht="15" hidden="false" customHeight="false" outlineLevel="0" collapsed="false">
      <c r="A631" s="6" t="str">
        <f aca="false">IF('DATA UNIT'!$B33="","",'DATA UNIT'!$B33)</f>
        <v>KT 8417 YS</v>
      </c>
      <c r="B631" s="6" t="str">
        <f aca="false">IF($A631="","",INDEX(PlanningItemsList,10))</f>
        <v>Ban Belakang</v>
      </c>
      <c r="C631" s="7"/>
      <c r="D631" s="7"/>
    </row>
    <row r="632" customFormat="false" ht="15" hidden="false" customHeight="false" outlineLevel="0" collapsed="false">
      <c r="A632" s="6" t="str">
        <f aca="false">IF('DATA UNIT'!$B33="","",'DATA UNIT'!$B33)</f>
        <v>KT 8417 YS</v>
      </c>
      <c r="B632" s="6" t="str">
        <f aca="false">IF($A632="","",INDEX(PlanningItemsList,11))</f>
        <v>Ban Serep</v>
      </c>
      <c r="C632" s="7"/>
      <c r="D632" s="7"/>
    </row>
    <row r="633" customFormat="false" ht="15" hidden="false" customHeight="false" outlineLevel="0" collapsed="false">
      <c r="A633" s="6" t="str">
        <f aca="false">IF('DATA UNIT'!$B33="","",'DATA UNIT'!$B33)</f>
        <v>KT 8417 YS</v>
      </c>
      <c r="B633" s="6" t="str">
        <f aca="false">IF($A633="","",INDEX(PlanningItemsList,12))</f>
        <v>Greasing</v>
      </c>
      <c r="C633" s="7"/>
      <c r="D633" s="7"/>
    </row>
    <row r="634" customFormat="false" ht="15" hidden="false" customHeight="false" outlineLevel="0" collapsed="false">
      <c r="A634" s="6" t="str">
        <f aca="false">IF('DATA UNIT'!$B33="","",'DATA UNIT'!$B33)</f>
        <v>KT 8417 YS</v>
      </c>
      <c r="B634" s="6" t="str">
        <f aca="false">IF($A634="","",INDEX(PlanningItemsList,13))</f>
        <v>V-Belt</v>
      </c>
      <c r="C634" s="7"/>
      <c r="D634" s="7"/>
    </row>
    <row r="635" customFormat="false" ht="15" hidden="false" customHeight="false" outlineLevel="0" collapsed="false">
      <c r="A635" s="6" t="str">
        <f aca="false">IF('DATA UNIT'!$B33="","",'DATA UNIT'!$B33)</f>
        <v>KT 8417 YS</v>
      </c>
      <c r="B635" s="6" t="str">
        <f aca="false">IF($A635="","",INDEX(PlanningItemsList,14))</f>
        <v>Sarung Jok</v>
      </c>
      <c r="C635" s="7"/>
      <c r="D635" s="7"/>
    </row>
    <row r="636" customFormat="false" ht="15" hidden="false" customHeight="false" outlineLevel="0" collapsed="false">
      <c r="A636" s="6" t="str">
        <f aca="false">IF('DATA UNIT'!$B33="","",'DATA UNIT'!$B33)</f>
        <v>KT 8417 YS</v>
      </c>
      <c r="B636" s="6" t="str">
        <f aca="false">IF($A636="","",INDEX(PlanningItemsList,15))</f>
        <v>Karpet Karet</v>
      </c>
      <c r="C636" s="7"/>
      <c r="D636" s="7"/>
    </row>
    <row r="637" customFormat="false" ht="15" hidden="false" customHeight="false" outlineLevel="0" collapsed="false">
      <c r="A637" s="6" t="str">
        <f aca="false">IF('DATA UNIT'!$B33="","",'DATA UNIT'!$B33)</f>
        <v>KT 8417 YS</v>
      </c>
      <c r="B637" s="6" t="str">
        <f aca="false">IF($A637="","",INDEX(PlanningItemsList,16))</f>
        <v>Karpet Dasar</v>
      </c>
      <c r="C637" s="7"/>
      <c r="D637" s="7"/>
    </row>
    <row r="638" customFormat="false" ht="15" hidden="false" customHeight="false" outlineLevel="0" collapsed="false">
      <c r="A638" s="6" t="str">
        <f aca="false">IF('DATA UNIT'!$B33="","",'DATA UNIT'!$B33)</f>
        <v>KT 8417 YS</v>
      </c>
      <c r="B638" s="6" t="str">
        <f aca="false">IF($A638="","",INDEX(PlanningItemsList,17))</f>
        <v>Flushing Radiator</v>
      </c>
      <c r="C638" s="7"/>
      <c r="D638" s="7"/>
    </row>
    <row r="639" customFormat="false" ht="15" hidden="false" customHeight="false" outlineLevel="0" collapsed="false">
      <c r="A639" s="6" t="str">
        <f aca="false">IF('DATA UNIT'!$B33="","",'DATA UNIT'!$B33)</f>
        <v>KT 8417 YS</v>
      </c>
      <c r="B639" s="6" t="str">
        <f aca="false">IF($A639="","",INDEX(PlanningItemsList,18))</f>
        <v>Flushing Steering</v>
      </c>
      <c r="C639" s="7"/>
      <c r="D639" s="7"/>
    </row>
    <row r="640" customFormat="false" ht="15" hidden="false" customHeight="false" outlineLevel="0" collapsed="false">
      <c r="A640" s="6" t="str">
        <f aca="false">IF('DATA UNIT'!$B33="","",'DATA UNIT'!$B33)</f>
        <v>KT 8417 YS</v>
      </c>
      <c r="B640" s="6" t="str">
        <f aca="false">IF($A640="","",INDEX(PlanningItemsList,19))</f>
        <v>Flushing Injector</v>
      </c>
      <c r="C640" s="7"/>
      <c r="D640" s="7"/>
    </row>
    <row r="641" customFormat="false" ht="15" hidden="false" customHeight="false" outlineLevel="0" collapsed="false">
      <c r="A641" s="6" t="str">
        <f aca="false">IF('DATA UNIT'!$B33="","",'DATA UNIT'!$B33)</f>
        <v>KT 8417 YS</v>
      </c>
      <c r="B641" s="6" t="str">
        <f aca="false">IF($A641="","",INDEX(PlanningItemsList,20))</f>
        <v>Flushing Rem</v>
      </c>
      <c r="C641" s="7"/>
      <c r="D641" s="7"/>
    </row>
    <row r="642" customFormat="false" ht="15" hidden="false" customHeight="false" outlineLevel="0" collapsed="false">
      <c r="A642" s="6" t="str">
        <f aca="false">IF('DATA UNIT'!$B34="","",'DATA UNIT'!$B34)</f>
        <v>KT 8036 YV</v>
      </c>
      <c r="B642" s="6" t="str">
        <f aca="false">IF($A642="","",INDEX(PlanningItemsList,1))</f>
        <v>PM Check / Reguler Services</v>
      </c>
      <c r="C642" s="7"/>
      <c r="D642" s="7"/>
    </row>
    <row r="643" customFormat="false" ht="15" hidden="false" customHeight="false" outlineLevel="0" collapsed="false">
      <c r="A643" s="6" t="str">
        <f aca="false">IF('DATA UNIT'!$B34="","",'DATA UNIT'!$B34)</f>
        <v>KT 8036 YV</v>
      </c>
      <c r="B643" s="6" t="str">
        <f aca="false">IF($A643="","",INDEX(PlanningItemsList,2))</f>
        <v>Service A</v>
      </c>
      <c r="C643" s="7"/>
      <c r="D643" s="7"/>
    </row>
    <row r="644" customFormat="false" ht="15" hidden="false" customHeight="false" outlineLevel="0" collapsed="false">
      <c r="A644" s="6" t="str">
        <f aca="false">IF('DATA UNIT'!$B34="","",'DATA UNIT'!$B34)</f>
        <v>KT 8036 YV</v>
      </c>
      <c r="B644" s="6" t="str">
        <f aca="false">IF($A644="","",INDEX(PlanningItemsList,3))</f>
        <v>Service B</v>
      </c>
      <c r="C644" s="7"/>
      <c r="D644" s="7"/>
    </row>
    <row r="645" customFormat="false" ht="15" hidden="false" customHeight="false" outlineLevel="0" collapsed="false">
      <c r="A645" s="6" t="str">
        <f aca="false">IF('DATA UNIT'!$B34="","",'DATA UNIT'!$B34)</f>
        <v>KT 8036 YV</v>
      </c>
      <c r="B645" s="6" t="str">
        <f aca="false">IF($A645="","",INDEX(PlanningItemsList,4))</f>
        <v>Brake Pad</v>
      </c>
      <c r="C645" s="7"/>
      <c r="D645" s="7"/>
    </row>
    <row r="646" customFormat="false" ht="15" hidden="false" customHeight="false" outlineLevel="0" collapsed="false">
      <c r="A646" s="6" t="str">
        <f aca="false">IF('DATA UNIT'!$B34="","",'DATA UNIT'!$B34)</f>
        <v>KT 8036 YV</v>
      </c>
      <c r="B646" s="6" t="str">
        <f aca="false">IF($A646="","",INDEX(PlanningItemsList,5))</f>
        <v>Brake Shoe</v>
      </c>
      <c r="C646" s="7"/>
      <c r="D646" s="7"/>
    </row>
    <row r="647" customFormat="false" ht="15" hidden="false" customHeight="false" outlineLevel="0" collapsed="false">
      <c r="A647" s="6" t="str">
        <f aca="false">IF('DATA UNIT'!$B34="","",'DATA UNIT'!$B34)</f>
        <v>KT 8036 YV</v>
      </c>
      <c r="B647" s="6" t="str">
        <f aca="false">IF($A647="","",INDEX(PlanningItemsList,6))</f>
        <v>Accu</v>
      </c>
      <c r="C647" s="7"/>
      <c r="D647" s="7"/>
    </row>
    <row r="648" customFormat="false" ht="15" hidden="false" customHeight="false" outlineLevel="0" collapsed="false">
      <c r="A648" s="6" t="str">
        <f aca="false">IF('DATA UNIT'!$B34="","",'DATA UNIT'!$B34)</f>
        <v>KT 8036 YV</v>
      </c>
      <c r="B648" s="6" t="str">
        <f aca="false">IF($A648="","",INDEX(PlanningItemsList,7))</f>
        <v>Kampas Kopling Set</v>
      </c>
      <c r="C648" s="7"/>
      <c r="D648" s="7"/>
    </row>
    <row r="649" customFormat="false" ht="15" hidden="false" customHeight="false" outlineLevel="0" collapsed="false">
      <c r="A649" s="6" t="str">
        <f aca="false">IF('DATA UNIT'!$B34="","",'DATA UNIT'!$B34)</f>
        <v>KT 8036 YV</v>
      </c>
      <c r="B649" s="6" t="str">
        <f aca="false">IF($A649="","",INDEX(PlanningItemsList,8))</f>
        <v>Wiper Blade</v>
      </c>
      <c r="C649" s="7"/>
      <c r="D649" s="7"/>
    </row>
    <row r="650" customFormat="false" ht="15" hidden="false" customHeight="false" outlineLevel="0" collapsed="false">
      <c r="A650" s="6" t="str">
        <f aca="false">IF('DATA UNIT'!$B34="","",'DATA UNIT'!$B34)</f>
        <v>KT 8036 YV</v>
      </c>
      <c r="B650" s="6" t="str">
        <f aca="false">IF($A650="","",INDEX(PlanningItemsList,9))</f>
        <v>Ban Depan</v>
      </c>
      <c r="C650" s="7"/>
      <c r="D650" s="7"/>
    </row>
    <row r="651" customFormat="false" ht="15" hidden="false" customHeight="false" outlineLevel="0" collapsed="false">
      <c r="A651" s="6" t="str">
        <f aca="false">IF('DATA UNIT'!$B34="","",'DATA UNIT'!$B34)</f>
        <v>KT 8036 YV</v>
      </c>
      <c r="B651" s="6" t="str">
        <f aca="false">IF($A651="","",INDEX(PlanningItemsList,10))</f>
        <v>Ban Belakang</v>
      </c>
      <c r="C651" s="7"/>
      <c r="D651" s="7"/>
    </row>
    <row r="652" customFormat="false" ht="15" hidden="false" customHeight="false" outlineLevel="0" collapsed="false">
      <c r="A652" s="6" t="str">
        <f aca="false">IF('DATA UNIT'!$B34="","",'DATA UNIT'!$B34)</f>
        <v>KT 8036 YV</v>
      </c>
      <c r="B652" s="6" t="str">
        <f aca="false">IF($A652="","",INDEX(PlanningItemsList,11))</f>
        <v>Ban Serep</v>
      </c>
      <c r="C652" s="7"/>
      <c r="D652" s="7"/>
    </row>
    <row r="653" customFormat="false" ht="15" hidden="false" customHeight="false" outlineLevel="0" collapsed="false">
      <c r="A653" s="6" t="str">
        <f aca="false">IF('DATA UNIT'!$B34="","",'DATA UNIT'!$B34)</f>
        <v>KT 8036 YV</v>
      </c>
      <c r="B653" s="6" t="str">
        <f aca="false">IF($A653="","",INDEX(PlanningItemsList,12))</f>
        <v>Greasing</v>
      </c>
      <c r="C653" s="7"/>
      <c r="D653" s="7"/>
    </row>
    <row r="654" customFormat="false" ht="15" hidden="false" customHeight="false" outlineLevel="0" collapsed="false">
      <c r="A654" s="6" t="str">
        <f aca="false">IF('DATA UNIT'!$B34="","",'DATA UNIT'!$B34)</f>
        <v>KT 8036 YV</v>
      </c>
      <c r="B654" s="6" t="str">
        <f aca="false">IF($A654="","",INDEX(PlanningItemsList,13))</f>
        <v>V-Belt</v>
      </c>
      <c r="C654" s="7"/>
      <c r="D654" s="7"/>
    </row>
    <row r="655" customFormat="false" ht="15" hidden="false" customHeight="false" outlineLevel="0" collapsed="false">
      <c r="A655" s="6" t="str">
        <f aca="false">IF('DATA UNIT'!$B34="","",'DATA UNIT'!$B34)</f>
        <v>KT 8036 YV</v>
      </c>
      <c r="B655" s="6" t="str">
        <f aca="false">IF($A655="","",INDEX(PlanningItemsList,14))</f>
        <v>Sarung Jok</v>
      </c>
      <c r="C655" s="7"/>
      <c r="D655" s="7"/>
    </row>
    <row r="656" customFormat="false" ht="15" hidden="false" customHeight="false" outlineLevel="0" collapsed="false">
      <c r="A656" s="6" t="str">
        <f aca="false">IF('DATA UNIT'!$B34="","",'DATA UNIT'!$B34)</f>
        <v>KT 8036 YV</v>
      </c>
      <c r="B656" s="6" t="str">
        <f aca="false">IF($A656="","",INDEX(PlanningItemsList,15))</f>
        <v>Karpet Karet</v>
      </c>
      <c r="C656" s="7"/>
      <c r="D656" s="7"/>
    </row>
    <row r="657" customFormat="false" ht="15" hidden="false" customHeight="false" outlineLevel="0" collapsed="false">
      <c r="A657" s="6" t="str">
        <f aca="false">IF('DATA UNIT'!$B34="","",'DATA UNIT'!$B34)</f>
        <v>KT 8036 YV</v>
      </c>
      <c r="B657" s="6" t="str">
        <f aca="false">IF($A657="","",INDEX(PlanningItemsList,16))</f>
        <v>Karpet Dasar</v>
      </c>
      <c r="C657" s="7"/>
      <c r="D657" s="7"/>
    </row>
    <row r="658" customFormat="false" ht="15" hidden="false" customHeight="false" outlineLevel="0" collapsed="false">
      <c r="A658" s="6" t="str">
        <f aca="false">IF('DATA UNIT'!$B34="","",'DATA UNIT'!$B34)</f>
        <v>KT 8036 YV</v>
      </c>
      <c r="B658" s="6" t="str">
        <f aca="false">IF($A658="","",INDEX(PlanningItemsList,17))</f>
        <v>Flushing Radiator</v>
      </c>
      <c r="C658" s="7"/>
      <c r="D658" s="7"/>
    </row>
    <row r="659" customFormat="false" ht="15" hidden="false" customHeight="false" outlineLevel="0" collapsed="false">
      <c r="A659" s="6" t="str">
        <f aca="false">IF('DATA UNIT'!$B34="","",'DATA UNIT'!$B34)</f>
        <v>KT 8036 YV</v>
      </c>
      <c r="B659" s="6" t="str">
        <f aca="false">IF($A659="","",INDEX(PlanningItemsList,18))</f>
        <v>Flushing Steering</v>
      </c>
      <c r="C659" s="7"/>
      <c r="D659" s="7"/>
    </row>
    <row r="660" customFormat="false" ht="15" hidden="false" customHeight="false" outlineLevel="0" collapsed="false">
      <c r="A660" s="6" t="str">
        <f aca="false">IF('DATA UNIT'!$B34="","",'DATA UNIT'!$B34)</f>
        <v>KT 8036 YV</v>
      </c>
      <c r="B660" s="6" t="str">
        <f aca="false">IF($A660="","",INDEX(PlanningItemsList,19))</f>
        <v>Flushing Injector</v>
      </c>
      <c r="C660" s="7"/>
      <c r="D660" s="7"/>
    </row>
    <row r="661" customFormat="false" ht="15" hidden="false" customHeight="false" outlineLevel="0" collapsed="false">
      <c r="A661" s="6" t="str">
        <f aca="false">IF('DATA UNIT'!$B34="","",'DATA UNIT'!$B34)</f>
        <v>KT 8036 YV</v>
      </c>
      <c r="B661" s="6" t="str">
        <f aca="false">IF($A661="","",INDEX(PlanningItemsList,20))</f>
        <v>Flushing Rem</v>
      </c>
      <c r="C661" s="7"/>
      <c r="D661" s="7"/>
    </row>
    <row r="662" customFormat="false" ht="15" hidden="false" customHeight="false" outlineLevel="0" collapsed="false">
      <c r="A662" s="6" t="str">
        <f aca="false">IF('DATA UNIT'!$B35="","",'DATA UNIT'!$B35)</f>
        <v>KT 8475 YZ</v>
      </c>
      <c r="B662" s="6" t="str">
        <f aca="false">IF($A662="","",INDEX(PlanningItemsList,1))</f>
        <v>PM Check / Reguler Services</v>
      </c>
      <c r="C662" s="7"/>
      <c r="D662" s="7"/>
    </row>
    <row r="663" customFormat="false" ht="15" hidden="false" customHeight="false" outlineLevel="0" collapsed="false">
      <c r="A663" s="6" t="str">
        <f aca="false">IF('DATA UNIT'!$B35="","",'DATA UNIT'!$B35)</f>
        <v>KT 8475 YZ</v>
      </c>
      <c r="B663" s="6" t="str">
        <f aca="false">IF($A663="","",INDEX(PlanningItemsList,2))</f>
        <v>Service A</v>
      </c>
      <c r="C663" s="7"/>
      <c r="D663" s="7"/>
    </row>
    <row r="664" customFormat="false" ht="15" hidden="false" customHeight="false" outlineLevel="0" collapsed="false">
      <c r="A664" s="6" t="str">
        <f aca="false">IF('DATA UNIT'!$B35="","",'DATA UNIT'!$B35)</f>
        <v>KT 8475 YZ</v>
      </c>
      <c r="B664" s="6" t="str">
        <f aca="false">IF($A664="","",INDEX(PlanningItemsList,3))</f>
        <v>Service B</v>
      </c>
      <c r="C664" s="7"/>
      <c r="D664" s="7"/>
    </row>
    <row r="665" customFormat="false" ht="15" hidden="false" customHeight="false" outlineLevel="0" collapsed="false">
      <c r="A665" s="6" t="str">
        <f aca="false">IF('DATA UNIT'!$B35="","",'DATA UNIT'!$B35)</f>
        <v>KT 8475 YZ</v>
      </c>
      <c r="B665" s="6" t="str">
        <f aca="false">IF($A665="","",INDEX(PlanningItemsList,4))</f>
        <v>Brake Pad</v>
      </c>
      <c r="C665" s="7"/>
      <c r="D665" s="7"/>
    </row>
    <row r="666" customFormat="false" ht="15" hidden="false" customHeight="false" outlineLevel="0" collapsed="false">
      <c r="A666" s="6" t="str">
        <f aca="false">IF('DATA UNIT'!$B35="","",'DATA UNIT'!$B35)</f>
        <v>KT 8475 YZ</v>
      </c>
      <c r="B666" s="6" t="str">
        <f aca="false">IF($A666="","",INDEX(PlanningItemsList,5))</f>
        <v>Brake Shoe</v>
      </c>
      <c r="C666" s="7"/>
      <c r="D666" s="7"/>
    </row>
    <row r="667" customFormat="false" ht="15" hidden="false" customHeight="false" outlineLevel="0" collapsed="false">
      <c r="A667" s="6" t="str">
        <f aca="false">IF('DATA UNIT'!$B35="","",'DATA UNIT'!$B35)</f>
        <v>KT 8475 YZ</v>
      </c>
      <c r="B667" s="6" t="str">
        <f aca="false">IF($A667="","",INDEX(PlanningItemsList,6))</f>
        <v>Accu</v>
      </c>
      <c r="C667" s="7"/>
      <c r="D667" s="7"/>
    </row>
    <row r="668" customFormat="false" ht="15" hidden="false" customHeight="false" outlineLevel="0" collapsed="false">
      <c r="A668" s="6" t="str">
        <f aca="false">IF('DATA UNIT'!$B35="","",'DATA UNIT'!$B35)</f>
        <v>KT 8475 YZ</v>
      </c>
      <c r="B668" s="6" t="str">
        <f aca="false">IF($A668="","",INDEX(PlanningItemsList,7))</f>
        <v>Kampas Kopling Set</v>
      </c>
      <c r="C668" s="7"/>
      <c r="D668" s="7"/>
    </row>
    <row r="669" customFormat="false" ht="15" hidden="false" customHeight="false" outlineLevel="0" collapsed="false">
      <c r="A669" s="6" t="str">
        <f aca="false">IF('DATA UNIT'!$B35="","",'DATA UNIT'!$B35)</f>
        <v>KT 8475 YZ</v>
      </c>
      <c r="B669" s="6" t="str">
        <f aca="false">IF($A669="","",INDEX(PlanningItemsList,8))</f>
        <v>Wiper Blade</v>
      </c>
      <c r="C669" s="7"/>
      <c r="D669" s="7"/>
    </row>
    <row r="670" customFormat="false" ht="15" hidden="false" customHeight="false" outlineLevel="0" collapsed="false">
      <c r="A670" s="6" t="str">
        <f aca="false">IF('DATA UNIT'!$B35="","",'DATA UNIT'!$B35)</f>
        <v>KT 8475 YZ</v>
      </c>
      <c r="B670" s="6" t="str">
        <f aca="false">IF($A670="","",INDEX(PlanningItemsList,9))</f>
        <v>Ban Depan</v>
      </c>
      <c r="C670" s="7"/>
      <c r="D670" s="7"/>
    </row>
    <row r="671" customFormat="false" ht="15" hidden="false" customHeight="false" outlineLevel="0" collapsed="false">
      <c r="A671" s="6" t="str">
        <f aca="false">IF('DATA UNIT'!$B35="","",'DATA UNIT'!$B35)</f>
        <v>KT 8475 YZ</v>
      </c>
      <c r="B671" s="6" t="str">
        <f aca="false">IF($A671="","",INDEX(PlanningItemsList,10))</f>
        <v>Ban Belakang</v>
      </c>
      <c r="C671" s="7"/>
      <c r="D671" s="7"/>
    </row>
    <row r="672" customFormat="false" ht="15" hidden="false" customHeight="false" outlineLevel="0" collapsed="false">
      <c r="A672" s="6" t="str">
        <f aca="false">IF('DATA UNIT'!$B35="","",'DATA UNIT'!$B35)</f>
        <v>KT 8475 YZ</v>
      </c>
      <c r="B672" s="6" t="str">
        <f aca="false">IF($A672="","",INDEX(PlanningItemsList,11))</f>
        <v>Ban Serep</v>
      </c>
      <c r="C672" s="7"/>
      <c r="D672" s="7"/>
    </row>
    <row r="673" customFormat="false" ht="15" hidden="false" customHeight="false" outlineLevel="0" collapsed="false">
      <c r="A673" s="6" t="str">
        <f aca="false">IF('DATA UNIT'!$B35="","",'DATA UNIT'!$B35)</f>
        <v>KT 8475 YZ</v>
      </c>
      <c r="B673" s="6" t="str">
        <f aca="false">IF($A673="","",INDEX(PlanningItemsList,12))</f>
        <v>Greasing</v>
      </c>
      <c r="C673" s="7"/>
      <c r="D673" s="7"/>
    </row>
    <row r="674" customFormat="false" ht="15" hidden="false" customHeight="false" outlineLevel="0" collapsed="false">
      <c r="A674" s="6" t="str">
        <f aca="false">IF('DATA UNIT'!$B35="","",'DATA UNIT'!$B35)</f>
        <v>KT 8475 YZ</v>
      </c>
      <c r="B674" s="6" t="str">
        <f aca="false">IF($A674="","",INDEX(PlanningItemsList,13))</f>
        <v>V-Belt</v>
      </c>
      <c r="C674" s="7"/>
      <c r="D674" s="7"/>
    </row>
    <row r="675" customFormat="false" ht="15" hidden="false" customHeight="false" outlineLevel="0" collapsed="false">
      <c r="A675" s="6" t="str">
        <f aca="false">IF('DATA UNIT'!$B35="","",'DATA UNIT'!$B35)</f>
        <v>KT 8475 YZ</v>
      </c>
      <c r="B675" s="6" t="str">
        <f aca="false">IF($A675="","",INDEX(PlanningItemsList,14))</f>
        <v>Sarung Jok</v>
      </c>
      <c r="C675" s="7"/>
      <c r="D675" s="7"/>
    </row>
    <row r="676" customFormat="false" ht="15" hidden="false" customHeight="false" outlineLevel="0" collapsed="false">
      <c r="A676" s="6" t="str">
        <f aca="false">IF('DATA UNIT'!$B35="","",'DATA UNIT'!$B35)</f>
        <v>KT 8475 YZ</v>
      </c>
      <c r="B676" s="6" t="str">
        <f aca="false">IF($A676="","",INDEX(PlanningItemsList,15))</f>
        <v>Karpet Karet</v>
      </c>
      <c r="C676" s="7"/>
      <c r="D676" s="7"/>
    </row>
    <row r="677" customFormat="false" ht="15" hidden="false" customHeight="false" outlineLevel="0" collapsed="false">
      <c r="A677" s="6" t="str">
        <f aca="false">IF('DATA UNIT'!$B35="","",'DATA UNIT'!$B35)</f>
        <v>KT 8475 YZ</v>
      </c>
      <c r="B677" s="6" t="str">
        <f aca="false">IF($A677="","",INDEX(PlanningItemsList,16))</f>
        <v>Karpet Dasar</v>
      </c>
      <c r="C677" s="7"/>
      <c r="D677" s="7"/>
    </row>
    <row r="678" customFormat="false" ht="15" hidden="false" customHeight="false" outlineLevel="0" collapsed="false">
      <c r="A678" s="6" t="str">
        <f aca="false">IF('DATA UNIT'!$B35="","",'DATA UNIT'!$B35)</f>
        <v>KT 8475 YZ</v>
      </c>
      <c r="B678" s="6" t="str">
        <f aca="false">IF($A678="","",INDEX(PlanningItemsList,17))</f>
        <v>Flushing Radiator</v>
      </c>
      <c r="C678" s="7"/>
      <c r="D678" s="7"/>
    </row>
    <row r="679" customFormat="false" ht="15" hidden="false" customHeight="false" outlineLevel="0" collapsed="false">
      <c r="A679" s="6" t="str">
        <f aca="false">IF('DATA UNIT'!$B35="","",'DATA UNIT'!$B35)</f>
        <v>KT 8475 YZ</v>
      </c>
      <c r="B679" s="6" t="str">
        <f aca="false">IF($A679="","",INDEX(PlanningItemsList,18))</f>
        <v>Flushing Steering</v>
      </c>
      <c r="C679" s="7"/>
      <c r="D679" s="7"/>
    </row>
    <row r="680" customFormat="false" ht="15" hidden="false" customHeight="false" outlineLevel="0" collapsed="false">
      <c r="A680" s="6" t="str">
        <f aca="false">IF('DATA UNIT'!$B35="","",'DATA UNIT'!$B35)</f>
        <v>KT 8475 YZ</v>
      </c>
      <c r="B680" s="6" t="str">
        <f aca="false">IF($A680="","",INDEX(PlanningItemsList,19))</f>
        <v>Flushing Injector</v>
      </c>
      <c r="C680" s="7"/>
      <c r="D680" s="7"/>
    </row>
    <row r="681" customFormat="false" ht="15" hidden="false" customHeight="false" outlineLevel="0" collapsed="false">
      <c r="A681" s="6" t="str">
        <f aca="false">IF('DATA UNIT'!$B35="","",'DATA UNIT'!$B35)</f>
        <v>KT 8475 YZ</v>
      </c>
      <c r="B681" s="6" t="str">
        <f aca="false">IF($A681="","",INDEX(PlanningItemsList,20))</f>
        <v>Flushing Rem</v>
      </c>
      <c r="C681" s="7"/>
      <c r="D681" s="7"/>
    </row>
    <row r="682" customFormat="false" ht="15" hidden="false" customHeight="false" outlineLevel="0" collapsed="false">
      <c r="A682" s="6" t="str">
        <f aca="false">IF('DATA UNIT'!$B36="","",'DATA UNIT'!$B36)</f>
        <v>KT 8164 ZA</v>
      </c>
      <c r="B682" s="6" t="str">
        <f aca="false">IF($A682="","",INDEX(PlanningItemsList,1))</f>
        <v>PM Check / Reguler Services</v>
      </c>
      <c r="C682" s="7"/>
      <c r="D682" s="7"/>
    </row>
    <row r="683" customFormat="false" ht="15" hidden="false" customHeight="false" outlineLevel="0" collapsed="false">
      <c r="A683" s="6" t="str">
        <f aca="false">IF('DATA UNIT'!$B36="","",'DATA UNIT'!$B36)</f>
        <v>KT 8164 ZA</v>
      </c>
      <c r="B683" s="6" t="str">
        <f aca="false">IF($A683="","",INDEX(PlanningItemsList,2))</f>
        <v>Service A</v>
      </c>
      <c r="C683" s="7"/>
      <c r="D683" s="7"/>
    </row>
    <row r="684" customFormat="false" ht="15" hidden="false" customHeight="false" outlineLevel="0" collapsed="false">
      <c r="A684" s="6" t="str">
        <f aca="false">IF('DATA UNIT'!$B36="","",'DATA UNIT'!$B36)</f>
        <v>KT 8164 ZA</v>
      </c>
      <c r="B684" s="6" t="str">
        <f aca="false">IF($A684="","",INDEX(PlanningItemsList,3))</f>
        <v>Service B</v>
      </c>
      <c r="C684" s="7"/>
      <c r="D684" s="7"/>
    </row>
    <row r="685" customFormat="false" ht="15" hidden="false" customHeight="false" outlineLevel="0" collapsed="false">
      <c r="A685" s="6" t="str">
        <f aca="false">IF('DATA UNIT'!$B36="","",'DATA UNIT'!$B36)</f>
        <v>KT 8164 ZA</v>
      </c>
      <c r="B685" s="6" t="str">
        <f aca="false">IF($A685="","",INDEX(PlanningItemsList,4))</f>
        <v>Brake Pad</v>
      </c>
      <c r="C685" s="7"/>
      <c r="D685" s="7"/>
    </row>
    <row r="686" customFormat="false" ht="15" hidden="false" customHeight="false" outlineLevel="0" collapsed="false">
      <c r="A686" s="6" t="str">
        <f aca="false">IF('DATA UNIT'!$B36="","",'DATA UNIT'!$B36)</f>
        <v>KT 8164 ZA</v>
      </c>
      <c r="B686" s="6" t="str">
        <f aca="false">IF($A686="","",INDEX(PlanningItemsList,5))</f>
        <v>Brake Shoe</v>
      </c>
      <c r="C686" s="7"/>
      <c r="D686" s="7"/>
    </row>
    <row r="687" customFormat="false" ht="15" hidden="false" customHeight="false" outlineLevel="0" collapsed="false">
      <c r="A687" s="6" t="str">
        <f aca="false">IF('DATA UNIT'!$B36="","",'DATA UNIT'!$B36)</f>
        <v>KT 8164 ZA</v>
      </c>
      <c r="B687" s="6" t="str">
        <f aca="false">IF($A687="","",INDEX(PlanningItemsList,6))</f>
        <v>Accu</v>
      </c>
      <c r="C687" s="7"/>
      <c r="D687" s="7"/>
    </row>
    <row r="688" customFormat="false" ht="15" hidden="false" customHeight="false" outlineLevel="0" collapsed="false">
      <c r="A688" s="6" t="str">
        <f aca="false">IF('DATA UNIT'!$B36="","",'DATA UNIT'!$B36)</f>
        <v>KT 8164 ZA</v>
      </c>
      <c r="B688" s="6" t="str">
        <f aca="false">IF($A688="","",INDEX(PlanningItemsList,7))</f>
        <v>Kampas Kopling Set</v>
      </c>
      <c r="C688" s="7"/>
      <c r="D688" s="7"/>
    </row>
    <row r="689" customFormat="false" ht="15" hidden="false" customHeight="false" outlineLevel="0" collapsed="false">
      <c r="A689" s="6" t="str">
        <f aca="false">IF('DATA UNIT'!$B36="","",'DATA UNIT'!$B36)</f>
        <v>KT 8164 ZA</v>
      </c>
      <c r="B689" s="6" t="str">
        <f aca="false">IF($A689="","",INDEX(PlanningItemsList,8))</f>
        <v>Wiper Blade</v>
      </c>
      <c r="C689" s="7"/>
      <c r="D689" s="7"/>
    </row>
    <row r="690" customFormat="false" ht="15" hidden="false" customHeight="false" outlineLevel="0" collapsed="false">
      <c r="A690" s="6" t="str">
        <f aca="false">IF('DATA UNIT'!$B36="","",'DATA UNIT'!$B36)</f>
        <v>KT 8164 ZA</v>
      </c>
      <c r="B690" s="6" t="str">
        <f aca="false">IF($A690="","",INDEX(PlanningItemsList,9))</f>
        <v>Ban Depan</v>
      </c>
      <c r="C690" s="7"/>
      <c r="D690" s="7"/>
    </row>
    <row r="691" customFormat="false" ht="15" hidden="false" customHeight="false" outlineLevel="0" collapsed="false">
      <c r="A691" s="6" t="str">
        <f aca="false">IF('DATA UNIT'!$B36="","",'DATA UNIT'!$B36)</f>
        <v>KT 8164 ZA</v>
      </c>
      <c r="B691" s="6" t="str">
        <f aca="false">IF($A691="","",INDEX(PlanningItemsList,10))</f>
        <v>Ban Belakang</v>
      </c>
      <c r="C691" s="7"/>
      <c r="D691" s="7"/>
    </row>
    <row r="692" customFormat="false" ht="15" hidden="false" customHeight="false" outlineLevel="0" collapsed="false">
      <c r="A692" s="6" t="str">
        <f aca="false">IF('DATA UNIT'!$B36="","",'DATA UNIT'!$B36)</f>
        <v>KT 8164 ZA</v>
      </c>
      <c r="B692" s="6" t="str">
        <f aca="false">IF($A692="","",INDEX(PlanningItemsList,11))</f>
        <v>Ban Serep</v>
      </c>
      <c r="C692" s="7"/>
      <c r="D692" s="7"/>
    </row>
    <row r="693" customFormat="false" ht="15" hidden="false" customHeight="false" outlineLevel="0" collapsed="false">
      <c r="A693" s="6" t="str">
        <f aca="false">IF('DATA UNIT'!$B36="","",'DATA UNIT'!$B36)</f>
        <v>KT 8164 ZA</v>
      </c>
      <c r="B693" s="6" t="str">
        <f aca="false">IF($A693="","",INDEX(PlanningItemsList,12))</f>
        <v>Greasing</v>
      </c>
      <c r="C693" s="7"/>
      <c r="D693" s="7"/>
    </row>
    <row r="694" customFormat="false" ht="15" hidden="false" customHeight="false" outlineLevel="0" collapsed="false">
      <c r="A694" s="6" t="str">
        <f aca="false">IF('DATA UNIT'!$B36="","",'DATA UNIT'!$B36)</f>
        <v>KT 8164 ZA</v>
      </c>
      <c r="B694" s="6" t="str">
        <f aca="false">IF($A694="","",INDEX(PlanningItemsList,13))</f>
        <v>V-Belt</v>
      </c>
      <c r="C694" s="7"/>
      <c r="D694" s="7"/>
    </row>
    <row r="695" customFormat="false" ht="15" hidden="false" customHeight="false" outlineLevel="0" collapsed="false">
      <c r="A695" s="6" t="str">
        <f aca="false">IF('DATA UNIT'!$B36="","",'DATA UNIT'!$B36)</f>
        <v>KT 8164 ZA</v>
      </c>
      <c r="B695" s="6" t="str">
        <f aca="false">IF($A695="","",INDEX(PlanningItemsList,14))</f>
        <v>Sarung Jok</v>
      </c>
      <c r="C695" s="7"/>
      <c r="D695" s="7"/>
    </row>
    <row r="696" customFormat="false" ht="15" hidden="false" customHeight="false" outlineLevel="0" collapsed="false">
      <c r="A696" s="6" t="str">
        <f aca="false">IF('DATA UNIT'!$B36="","",'DATA UNIT'!$B36)</f>
        <v>KT 8164 ZA</v>
      </c>
      <c r="B696" s="6" t="str">
        <f aca="false">IF($A696="","",INDEX(PlanningItemsList,15))</f>
        <v>Karpet Karet</v>
      </c>
      <c r="C696" s="7"/>
      <c r="D696" s="7"/>
    </row>
    <row r="697" customFormat="false" ht="15" hidden="false" customHeight="false" outlineLevel="0" collapsed="false">
      <c r="A697" s="6" t="str">
        <f aca="false">IF('DATA UNIT'!$B36="","",'DATA UNIT'!$B36)</f>
        <v>KT 8164 ZA</v>
      </c>
      <c r="B697" s="6" t="str">
        <f aca="false">IF($A697="","",INDEX(PlanningItemsList,16))</f>
        <v>Karpet Dasar</v>
      </c>
      <c r="C697" s="7"/>
      <c r="D697" s="7"/>
    </row>
    <row r="698" customFormat="false" ht="15" hidden="false" customHeight="false" outlineLevel="0" collapsed="false">
      <c r="A698" s="6" t="str">
        <f aca="false">IF('DATA UNIT'!$B36="","",'DATA UNIT'!$B36)</f>
        <v>KT 8164 ZA</v>
      </c>
      <c r="B698" s="6" t="str">
        <f aca="false">IF($A698="","",INDEX(PlanningItemsList,17))</f>
        <v>Flushing Radiator</v>
      </c>
      <c r="C698" s="7"/>
      <c r="D698" s="7"/>
    </row>
    <row r="699" customFormat="false" ht="15" hidden="false" customHeight="false" outlineLevel="0" collapsed="false">
      <c r="A699" s="6" t="str">
        <f aca="false">IF('DATA UNIT'!$B36="","",'DATA UNIT'!$B36)</f>
        <v>KT 8164 ZA</v>
      </c>
      <c r="B699" s="6" t="str">
        <f aca="false">IF($A699="","",INDEX(PlanningItemsList,18))</f>
        <v>Flushing Steering</v>
      </c>
      <c r="C699" s="7"/>
      <c r="D699" s="7"/>
    </row>
    <row r="700" customFormat="false" ht="15" hidden="false" customHeight="false" outlineLevel="0" collapsed="false">
      <c r="A700" s="6" t="str">
        <f aca="false">IF('DATA UNIT'!$B36="","",'DATA UNIT'!$B36)</f>
        <v>KT 8164 ZA</v>
      </c>
      <c r="B700" s="6" t="str">
        <f aca="false">IF($A700="","",INDEX(PlanningItemsList,19))</f>
        <v>Flushing Injector</v>
      </c>
      <c r="C700" s="7"/>
      <c r="D700" s="7"/>
    </row>
    <row r="701" customFormat="false" ht="15" hidden="false" customHeight="false" outlineLevel="0" collapsed="false">
      <c r="A701" s="6" t="str">
        <f aca="false">IF('DATA UNIT'!$B36="","",'DATA UNIT'!$B36)</f>
        <v>KT 8164 ZA</v>
      </c>
      <c r="B701" s="6" t="str">
        <f aca="false">IF($A701="","",INDEX(PlanningItemsList,20))</f>
        <v>Flushing Rem</v>
      </c>
      <c r="C701" s="7"/>
      <c r="D701" s="7"/>
    </row>
    <row r="702" customFormat="false" ht="15" hidden="false" customHeight="false" outlineLevel="0" collapsed="false">
      <c r="A702" s="6" t="str">
        <f aca="false">IF('DATA UNIT'!$B37="","",'DATA UNIT'!$B37)</f>
        <v>KT 8192 YT</v>
      </c>
      <c r="B702" s="6" t="str">
        <f aca="false">IF($A702="","",INDEX(PlanningItemsList,1))</f>
        <v>PM Check / Reguler Services</v>
      </c>
      <c r="C702" s="7"/>
      <c r="D702" s="7"/>
    </row>
    <row r="703" customFormat="false" ht="15" hidden="false" customHeight="false" outlineLevel="0" collapsed="false">
      <c r="A703" s="6" t="str">
        <f aca="false">IF('DATA UNIT'!$B37="","",'DATA UNIT'!$B37)</f>
        <v>KT 8192 YT</v>
      </c>
      <c r="B703" s="6" t="str">
        <f aca="false">IF($A703="","",INDEX(PlanningItemsList,2))</f>
        <v>Service A</v>
      </c>
      <c r="C703" s="7"/>
      <c r="D703" s="7"/>
    </row>
    <row r="704" customFormat="false" ht="15" hidden="false" customHeight="false" outlineLevel="0" collapsed="false">
      <c r="A704" s="6" t="str">
        <f aca="false">IF('DATA UNIT'!$B37="","",'DATA UNIT'!$B37)</f>
        <v>KT 8192 YT</v>
      </c>
      <c r="B704" s="6" t="str">
        <f aca="false">IF($A704="","",INDEX(PlanningItemsList,3))</f>
        <v>Service B</v>
      </c>
      <c r="C704" s="7"/>
      <c r="D704" s="7"/>
    </row>
    <row r="705" customFormat="false" ht="15" hidden="false" customHeight="false" outlineLevel="0" collapsed="false">
      <c r="A705" s="6" t="str">
        <f aca="false">IF('DATA UNIT'!$B37="","",'DATA UNIT'!$B37)</f>
        <v>KT 8192 YT</v>
      </c>
      <c r="B705" s="6" t="str">
        <f aca="false">IF($A705="","",INDEX(PlanningItemsList,4))</f>
        <v>Brake Pad</v>
      </c>
      <c r="C705" s="7"/>
      <c r="D705" s="7"/>
    </row>
    <row r="706" customFormat="false" ht="15" hidden="false" customHeight="false" outlineLevel="0" collapsed="false">
      <c r="A706" s="6" t="str">
        <f aca="false">IF('DATA UNIT'!$B37="","",'DATA UNIT'!$B37)</f>
        <v>KT 8192 YT</v>
      </c>
      <c r="B706" s="6" t="str">
        <f aca="false">IF($A706="","",INDEX(PlanningItemsList,5))</f>
        <v>Brake Shoe</v>
      </c>
      <c r="C706" s="7"/>
      <c r="D706" s="7"/>
    </row>
    <row r="707" customFormat="false" ht="15" hidden="false" customHeight="false" outlineLevel="0" collapsed="false">
      <c r="A707" s="6" t="str">
        <f aca="false">IF('DATA UNIT'!$B37="","",'DATA UNIT'!$B37)</f>
        <v>KT 8192 YT</v>
      </c>
      <c r="B707" s="6" t="str">
        <f aca="false">IF($A707="","",INDEX(PlanningItemsList,6))</f>
        <v>Accu</v>
      </c>
      <c r="C707" s="7"/>
      <c r="D707" s="7"/>
    </row>
    <row r="708" customFormat="false" ht="15" hidden="false" customHeight="false" outlineLevel="0" collapsed="false">
      <c r="A708" s="6" t="str">
        <f aca="false">IF('DATA UNIT'!$B37="","",'DATA UNIT'!$B37)</f>
        <v>KT 8192 YT</v>
      </c>
      <c r="B708" s="6" t="str">
        <f aca="false">IF($A708="","",INDEX(PlanningItemsList,7))</f>
        <v>Kampas Kopling Set</v>
      </c>
      <c r="C708" s="7"/>
      <c r="D708" s="7"/>
    </row>
    <row r="709" customFormat="false" ht="15" hidden="false" customHeight="false" outlineLevel="0" collapsed="false">
      <c r="A709" s="6" t="str">
        <f aca="false">IF('DATA UNIT'!$B37="","",'DATA UNIT'!$B37)</f>
        <v>KT 8192 YT</v>
      </c>
      <c r="B709" s="6" t="str">
        <f aca="false">IF($A709="","",INDEX(PlanningItemsList,8))</f>
        <v>Wiper Blade</v>
      </c>
      <c r="C709" s="7"/>
      <c r="D709" s="7"/>
    </row>
    <row r="710" customFormat="false" ht="15" hidden="false" customHeight="false" outlineLevel="0" collapsed="false">
      <c r="A710" s="6" t="str">
        <f aca="false">IF('DATA UNIT'!$B37="","",'DATA UNIT'!$B37)</f>
        <v>KT 8192 YT</v>
      </c>
      <c r="B710" s="6" t="str">
        <f aca="false">IF($A710="","",INDEX(PlanningItemsList,9))</f>
        <v>Ban Depan</v>
      </c>
      <c r="C710" s="7"/>
      <c r="D710" s="7"/>
    </row>
    <row r="711" customFormat="false" ht="15" hidden="false" customHeight="false" outlineLevel="0" collapsed="false">
      <c r="A711" s="6" t="str">
        <f aca="false">IF('DATA UNIT'!$B37="","",'DATA UNIT'!$B37)</f>
        <v>KT 8192 YT</v>
      </c>
      <c r="B711" s="6" t="str">
        <f aca="false">IF($A711="","",INDEX(PlanningItemsList,10))</f>
        <v>Ban Belakang</v>
      </c>
      <c r="C711" s="7"/>
      <c r="D711" s="7"/>
    </row>
    <row r="712" customFormat="false" ht="15" hidden="false" customHeight="false" outlineLevel="0" collapsed="false">
      <c r="A712" s="6" t="str">
        <f aca="false">IF('DATA UNIT'!$B37="","",'DATA UNIT'!$B37)</f>
        <v>KT 8192 YT</v>
      </c>
      <c r="B712" s="6" t="str">
        <f aca="false">IF($A712="","",INDEX(PlanningItemsList,11))</f>
        <v>Ban Serep</v>
      </c>
      <c r="C712" s="7"/>
      <c r="D712" s="7"/>
    </row>
    <row r="713" customFormat="false" ht="15" hidden="false" customHeight="false" outlineLevel="0" collapsed="false">
      <c r="A713" s="6" t="str">
        <f aca="false">IF('DATA UNIT'!$B37="","",'DATA UNIT'!$B37)</f>
        <v>KT 8192 YT</v>
      </c>
      <c r="B713" s="6" t="str">
        <f aca="false">IF($A713="","",INDEX(PlanningItemsList,12))</f>
        <v>Greasing</v>
      </c>
      <c r="C713" s="7"/>
      <c r="D713" s="7"/>
    </row>
    <row r="714" customFormat="false" ht="15" hidden="false" customHeight="false" outlineLevel="0" collapsed="false">
      <c r="A714" s="6" t="str">
        <f aca="false">IF('DATA UNIT'!$B37="","",'DATA UNIT'!$B37)</f>
        <v>KT 8192 YT</v>
      </c>
      <c r="B714" s="6" t="str">
        <f aca="false">IF($A714="","",INDEX(PlanningItemsList,13))</f>
        <v>V-Belt</v>
      </c>
      <c r="C714" s="7"/>
      <c r="D714" s="7"/>
    </row>
    <row r="715" customFormat="false" ht="15" hidden="false" customHeight="false" outlineLevel="0" collapsed="false">
      <c r="A715" s="6" t="str">
        <f aca="false">IF('DATA UNIT'!$B37="","",'DATA UNIT'!$B37)</f>
        <v>KT 8192 YT</v>
      </c>
      <c r="B715" s="6" t="str">
        <f aca="false">IF($A715="","",INDEX(PlanningItemsList,14))</f>
        <v>Sarung Jok</v>
      </c>
      <c r="C715" s="7"/>
      <c r="D715" s="7"/>
    </row>
    <row r="716" customFormat="false" ht="15" hidden="false" customHeight="false" outlineLevel="0" collapsed="false">
      <c r="A716" s="6" t="str">
        <f aca="false">IF('DATA UNIT'!$B37="","",'DATA UNIT'!$B37)</f>
        <v>KT 8192 YT</v>
      </c>
      <c r="B716" s="6" t="str">
        <f aca="false">IF($A716="","",INDEX(PlanningItemsList,15))</f>
        <v>Karpet Karet</v>
      </c>
      <c r="C716" s="7"/>
      <c r="D716" s="7"/>
    </row>
    <row r="717" customFormat="false" ht="15" hidden="false" customHeight="false" outlineLevel="0" collapsed="false">
      <c r="A717" s="6" t="str">
        <f aca="false">IF('DATA UNIT'!$B37="","",'DATA UNIT'!$B37)</f>
        <v>KT 8192 YT</v>
      </c>
      <c r="B717" s="6" t="str">
        <f aca="false">IF($A717="","",INDEX(PlanningItemsList,16))</f>
        <v>Karpet Dasar</v>
      </c>
      <c r="C717" s="7"/>
      <c r="D717" s="7"/>
    </row>
    <row r="718" customFormat="false" ht="15" hidden="false" customHeight="false" outlineLevel="0" collapsed="false">
      <c r="A718" s="6" t="str">
        <f aca="false">IF('DATA UNIT'!$B37="","",'DATA UNIT'!$B37)</f>
        <v>KT 8192 YT</v>
      </c>
      <c r="B718" s="6" t="str">
        <f aca="false">IF($A718="","",INDEX(PlanningItemsList,17))</f>
        <v>Flushing Radiator</v>
      </c>
      <c r="C718" s="7"/>
      <c r="D718" s="7"/>
    </row>
    <row r="719" customFormat="false" ht="15" hidden="false" customHeight="false" outlineLevel="0" collapsed="false">
      <c r="A719" s="6" t="str">
        <f aca="false">IF('DATA UNIT'!$B37="","",'DATA UNIT'!$B37)</f>
        <v>KT 8192 YT</v>
      </c>
      <c r="B719" s="6" t="str">
        <f aca="false">IF($A719="","",INDEX(PlanningItemsList,18))</f>
        <v>Flushing Steering</v>
      </c>
      <c r="C719" s="7"/>
      <c r="D719" s="7"/>
    </row>
    <row r="720" customFormat="false" ht="15" hidden="false" customHeight="false" outlineLevel="0" collapsed="false">
      <c r="A720" s="6" t="str">
        <f aca="false">IF('DATA UNIT'!$B37="","",'DATA UNIT'!$B37)</f>
        <v>KT 8192 YT</v>
      </c>
      <c r="B720" s="6" t="str">
        <f aca="false">IF($A720="","",INDEX(PlanningItemsList,19))</f>
        <v>Flushing Injector</v>
      </c>
      <c r="C720" s="7"/>
      <c r="D720" s="7"/>
    </row>
    <row r="721" customFormat="false" ht="15" hidden="false" customHeight="false" outlineLevel="0" collapsed="false">
      <c r="A721" s="6" t="str">
        <f aca="false">IF('DATA UNIT'!$B37="","",'DATA UNIT'!$B37)</f>
        <v>KT 8192 YT</v>
      </c>
      <c r="B721" s="6" t="str">
        <f aca="false">IF($A721="","",INDEX(PlanningItemsList,20))</f>
        <v>Flushing Rem</v>
      </c>
      <c r="C721" s="7"/>
      <c r="D721" s="7"/>
    </row>
    <row r="722" customFormat="false" ht="15" hidden="false" customHeight="false" outlineLevel="0" collapsed="false">
      <c r="A722" s="6" t="str">
        <f aca="false">IF('DATA UNIT'!$B38="","",'DATA UNIT'!$B38)</f>
        <v>KT 8976 YZ</v>
      </c>
      <c r="B722" s="6" t="str">
        <f aca="false">IF($A722="","",INDEX(PlanningItemsList,1))</f>
        <v>PM Check / Reguler Services</v>
      </c>
      <c r="C722" s="7"/>
      <c r="D722" s="7"/>
    </row>
    <row r="723" customFormat="false" ht="15" hidden="false" customHeight="false" outlineLevel="0" collapsed="false">
      <c r="A723" s="6" t="str">
        <f aca="false">IF('DATA UNIT'!$B38="","",'DATA UNIT'!$B38)</f>
        <v>KT 8976 YZ</v>
      </c>
      <c r="B723" s="6" t="str">
        <f aca="false">IF($A723="","",INDEX(PlanningItemsList,2))</f>
        <v>Service A</v>
      </c>
      <c r="C723" s="7"/>
      <c r="D723" s="7"/>
    </row>
    <row r="724" customFormat="false" ht="15" hidden="false" customHeight="false" outlineLevel="0" collapsed="false">
      <c r="A724" s="6" t="str">
        <f aca="false">IF('DATA UNIT'!$B38="","",'DATA UNIT'!$B38)</f>
        <v>KT 8976 YZ</v>
      </c>
      <c r="B724" s="6" t="str">
        <f aca="false">IF($A724="","",INDEX(PlanningItemsList,3))</f>
        <v>Service B</v>
      </c>
      <c r="C724" s="7"/>
      <c r="D724" s="7"/>
    </row>
    <row r="725" customFormat="false" ht="15" hidden="false" customHeight="false" outlineLevel="0" collapsed="false">
      <c r="A725" s="6" t="str">
        <f aca="false">IF('DATA UNIT'!$B38="","",'DATA UNIT'!$B38)</f>
        <v>KT 8976 YZ</v>
      </c>
      <c r="B725" s="6" t="str">
        <f aca="false">IF($A725="","",INDEX(PlanningItemsList,4))</f>
        <v>Brake Pad</v>
      </c>
      <c r="C725" s="7"/>
      <c r="D725" s="7"/>
    </row>
    <row r="726" customFormat="false" ht="15" hidden="false" customHeight="false" outlineLevel="0" collapsed="false">
      <c r="A726" s="6" t="str">
        <f aca="false">IF('DATA UNIT'!$B38="","",'DATA UNIT'!$B38)</f>
        <v>KT 8976 YZ</v>
      </c>
      <c r="B726" s="6" t="str">
        <f aca="false">IF($A726="","",INDEX(PlanningItemsList,5))</f>
        <v>Brake Shoe</v>
      </c>
      <c r="C726" s="7"/>
      <c r="D726" s="7"/>
    </row>
    <row r="727" customFormat="false" ht="15" hidden="false" customHeight="false" outlineLevel="0" collapsed="false">
      <c r="A727" s="6" t="str">
        <f aca="false">IF('DATA UNIT'!$B38="","",'DATA UNIT'!$B38)</f>
        <v>KT 8976 YZ</v>
      </c>
      <c r="B727" s="6" t="str">
        <f aca="false">IF($A727="","",INDEX(PlanningItemsList,6))</f>
        <v>Accu</v>
      </c>
      <c r="C727" s="7"/>
      <c r="D727" s="7"/>
    </row>
    <row r="728" customFormat="false" ht="15" hidden="false" customHeight="false" outlineLevel="0" collapsed="false">
      <c r="A728" s="6" t="str">
        <f aca="false">IF('DATA UNIT'!$B38="","",'DATA UNIT'!$B38)</f>
        <v>KT 8976 YZ</v>
      </c>
      <c r="B728" s="6" t="str">
        <f aca="false">IF($A728="","",INDEX(PlanningItemsList,7))</f>
        <v>Kampas Kopling Set</v>
      </c>
      <c r="C728" s="7"/>
      <c r="D728" s="7"/>
    </row>
    <row r="729" customFormat="false" ht="15" hidden="false" customHeight="false" outlineLevel="0" collapsed="false">
      <c r="A729" s="6" t="str">
        <f aca="false">IF('DATA UNIT'!$B38="","",'DATA UNIT'!$B38)</f>
        <v>KT 8976 YZ</v>
      </c>
      <c r="B729" s="6" t="str">
        <f aca="false">IF($A729="","",INDEX(PlanningItemsList,8))</f>
        <v>Wiper Blade</v>
      </c>
      <c r="C729" s="7"/>
      <c r="D729" s="7"/>
    </row>
    <row r="730" customFormat="false" ht="15" hidden="false" customHeight="false" outlineLevel="0" collapsed="false">
      <c r="A730" s="6" t="str">
        <f aca="false">IF('DATA UNIT'!$B38="","",'DATA UNIT'!$B38)</f>
        <v>KT 8976 YZ</v>
      </c>
      <c r="B730" s="6" t="str">
        <f aca="false">IF($A730="","",INDEX(PlanningItemsList,9))</f>
        <v>Ban Depan</v>
      </c>
      <c r="C730" s="7"/>
      <c r="D730" s="7"/>
    </row>
    <row r="731" customFormat="false" ht="15" hidden="false" customHeight="false" outlineLevel="0" collapsed="false">
      <c r="A731" s="6" t="str">
        <f aca="false">IF('DATA UNIT'!$B38="","",'DATA UNIT'!$B38)</f>
        <v>KT 8976 YZ</v>
      </c>
      <c r="B731" s="6" t="str">
        <f aca="false">IF($A731="","",INDEX(PlanningItemsList,10))</f>
        <v>Ban Belakang</v>
      </c>
      <c r="C731" s="7"/>
      <c r="D731" s="7"/>
    </row>
    <row r="732" customFormat="false" ht="15" hidden="false" customHeight="false" outlineLevel="0" collapsed="false">
      <c r="A732" s="6" t="str">
        <f aca="false">IF('DATA UNIT'!$B38="","",'DATA UNIT'!$B38)</f>
        <v>KT 8976 YZ</v>
      </c>
      <c r="B732" s="6" t="str">
        <f aca="false">IF($A732="","",INDEX(PlanningItemsList,11))</f>
        <v>Ban Serep</v>
      </c>
      <c r="C732" s="7"/>
      <c r="D732" s="7"/>
    </row>
    <row r="733" customFormat="false" ht="15" hidden="false" customHeight="false" outlineLevel="0" collapsed="false">
      <c r="A733" s="6" t="str">
        <f aca="false">IF('DATA UNIT'!$B38="","",'DATA UNIT'!$B38)</f>
        <v>KT 8976 YZ</v>
      </c>
      <c r="B733" s="6" t="str">
        <f aca="false">IF($A733="","",INDEX(PlanningItemsList,12))</f>
        <v>Greasing</v>
      </c>
      <c r="C733" s="7"/>
      <c r="D733" s="7"/>
    </row>
    <row r="734" customFormat="false" ht="15" hidden="false" customHeight="false" outlineLevel="0" collapsed="false">
      <c r="A734" s="6" t="str">
        <f aca="false">IF('DATA UNIT'!$B38="","",'DATA UNIT'!$B38)</f>
        <v>KT 8976 YZ</v>
      </c>
      <c r="B734" s="6" t="str">
        <f aca="false">IF($A734="","",INDEX(PlanningItemsList,13))</f>
        <v>V-Belt</v>
      </c>
      <c r="C734" s="7"/>
      <c r="D734" s="7"/>
    </row>
    <row r="735" customFormat="false" ht="15" hidden="false" customHeight="false" outlineLevel="0" collapsed="false">
      <c r="A735" s="6" t="str">
        <f aca="false">IF('DATA UNIT'!$B38="","",'DATA UNIT'!$B38)</f>
        <v>KT 8976 YZ</v>
      </c>
      <c r="B735" s="6" t="str">
        <f aca="false">IF($A735="","",INDEX(PlanningItemsList,14))</f>
        <v>Sarung Jok</v>
      </c>
      <c r="C735" s="7"/>
      <c r="D735" s="7"/>
    </row>
    <row r="736" customFormat="false" ht="15" hidden="false" customHeight="false" outlineLevel="0" collapsed="false">
      <c r="A736" s="6" t="str">
        <f aca="false">IF('DATA UNIT'!$B38="","",'DATA UNIT'!$B38)</f>
        <v>KT 8976 YZ</v>
      </c>
      <c r="B736" s="6" t="str">
        <f aca="false">IF($A736="","",INDEX(PlanningItemsList,15))</f>
        <v>Karpet Karet</v>
      </c>
      <c r="C736" s="7"/>
      <c r="D736" s="7"/>
    </row>
    <row r="737" customFormat="false" ht="15" hidden="false" customHeight="false" outlineLevel="0" collapsed="false">
      <c r="A737" s="6" t="str">
        <f aca="false">IF('DATA UNIT'!$B38="","",'DATA UNIT'!$B38)</f>
        <v>KT 8976 YZ</v>
      </c>
      <c r="B737" s="6" t="str">
        <f aca="false">IF($A737="","",INDEX(PlanningItemsList,16))</f>
        <v>Karpet Dasar</v>
      </c>
      <c r="C737" s="7"/>
      <c r="D737" s="7"/>
    </row>
    <row r="738" customFormat="false" ht="15" hidden="false" customHeight="false" outlineLevel="0" collapsed="false">
      <c r="A738" s="6" t="str">
        <f aca="false">IF('DATA UNIT'!$B38="","",'DATA UNIT'!$B38)</f>
        <v>KT 8976 YZ</v>
      </c>
      <c r="B738" s="6" t="str">
        <f aca="false">IF($A738="","",INDEX(PlanningItemsList,17))</f>
        <v>Flushing Radiator</v>
      </c>
      <c r="C738" s="7"/>
      <c r="D738" s="7"/>
    </row>
    <row r="739" customFormat="false" ht="15" hidden="false" customHeight="false" outlineLevel="0" collapsed="false">
      <c r="A739" s="6" t="str">
        <f aca="false">IF('DATA UNIT'!$B38="","",'DATA UNIT'!$B38)</f>
        <v>KT 8976 YZ</v>
      </c>
      <c r="B739" s="6" t="str">
        <f aca="false">IF($A739="","",INDEX(PlanningItemsList,18))</f>
        <v>Flushing Steering</v>
      </c>
      <c r="C739" s="7"/>
      <c r="D739" s="7"/>
    </row>
    <row r="740" customFormat="false" ht="15" hidden="false" customHeight="false" outlineLevel="0" collapsed="false">
      <c r="A740" s="6" t="str">
        <f aca="false">IF('DATA UNIT'!$B38="","",'DATA UNIT'!$B38)</f>
        <v>KT 8976 YZ</v>
      </c>
      <c r="B740" s="6" t="str">
        <f aca="false">IF($A740="","",INDEX(PlanningItemsList,19))</f>
        <v>Flushing Injector</v>
      </c>
      <c r="C740" s="7"/>
      <c r="D740" s="7"/>
    </row>
    <row r="741" customFormat="false" ht="15" hidden="false" customHeight="false" outlineLevel="0" collapsed="false">
      <c r="A741" s="6" t="str">
        <f aca="false">IF('DATA UNIT'!$B38="","",'DATA UNIT'!$B38)</f>
        <v>KT 8976 YZ</v>
      </c>
      <c r="B741" s="6" t="str">
        <f aca="false">IF($A741="","",INDEX(PlanningItemsList,20))</f>
        <v>Flushing Rem</v>
      </c>
      <c r="C741" s="7"/>
      <c r="D741" s="7"/>
    </row>
    <row r="742" customFormat="false" ht="15" hidden="false" customHeight="false" outlineLevel="0" collapsed="false">
      <c r="A742" s="6" t="str">
        <f aca="false">IF('DATA UNIT'!$B39="","",'DATA UNIT'!$B39)</f>
        <v>KT 8157 ZA</v>
      </c>
      <c r="B742" s="6" t="str">
        <f aca="false">IF($A742="","",INDEX(PlanningItemsList,1))</f>
        <v>PM Check / Reguler Services</v>
      </c>
      <c r="C742" s="7"/>
      <c r="D742" s="7"/>
    </row>
    <row r="743" customFormat="false" ht="15" hidden="false" customHeight="false" outlineLevel="0" collapsed="false">
      <c r="A743" s="6" t="str">
        <f aca="false">IF('DATA UNIT'!$B39="","",'DATA UNIT'!$B39)</f>
        <v>KT 8157 ZA</v>
      </c>
      <c r="B743" s="6" t="str">
        <f aca="false">IF($A743="","",INDEX(PlanningItemsList,2))</f>
        <v>Service A</v>
      </c>
      <c r="C743" s="7"/>
      <c r="D743" s="7"/>
    </row>
    <row r="744" customFormat="false" ht="15" hidden="false" customHeight="false" outlineLevel="0" collapsed="false">
      <c r="A744" s="6" t="str">
        <f aca="false">IF('DATA UNIT'!$B39="","",'DATA UNIT'!$B39)</f>
        <v>KT 8157 ZA</v>
      </c>
      <c r="B744" s="6" t="str">
        <f aca="false">IF($A744="","",INDEX(PlanningItemsList,3))</f>
        <v>Service B</v>
      </c>
      <c r="C744" s="7"/>
      <c r="D744" s="7"/>
    </row>
    <row r="745" customFormat="false" ht="15" hidden="false" customHeight="false" outlineLevel="0" collapsed="false">
      <c r="A745" s="6" t="str">
        <f aca="false">IF('DATA UNIT'!$B39="","",'DATA UNIT'!$B39)</f>
        <v>KT 8157 ZA</v>
      </c>
      <c r="B745" s="6" t="str">
        <f aca="false">IF($A745="","",INDEX(PlanningItemsList,4))</f>
        <v>Brake Pad</v>
      </c>
      <c r="C745" s="7"/>
      <c r="D745" s="7"/>
    </row>
    <row r="746" customFormat="false" ht="15" hidden="false" customHeight="false" outlineLevel="0" collapsed="false">
      <c r="A746" s="6" t="str">
        <f aca="false">IF('DATA UNIT'!$B39="","",'DATA UNIT'!$B39)</f>
        <v>KT 8157 ZA</v>
      </c>
      <c r="B746" s="6" t="str">
        <f aca="false">IF($A746="","",INDEX(PlanningItemsList,5))</f>
        <v>Brake Shoe</v>
      </c>
      <c r="C746" s="7"/>
      <c r="D746" s="7"/>
    </row>
    <row r="747" customFormat="false" ht="15" hidden="false" customHeight="false" outlineLevel="0" collapsed="false">
      <c r="A747" s="6" t="str">
        <f aca="false">IF('DATA UNIT'!$B39="","",'DATA UNIT'!$B39)</f>
        <v>KT 8157 ZA</v>
      </c>
      <c r="B747" s="6" t="str">
        <f aca="false">IF($A747="","",INDEX(PlanningItemsList,6))</f>
        <v>Accu</v>
      </c>
      <c r="C747" s="7"/>
      <c r="D747" s="7"/>
    </row>
    <row r="748" customFormat="false" ht="15" hidden="false" customHeight="false" outlineLevel="0" collapsed="false">
      <c r="A748" s="6" t="str">
        <f aca="false">IF('DATA UNIT'!$B39="","",'DATA UNIT'!$B39)</f>
        <v>KT 8157 ZA</v>
      </c>
      <c r="B748" s="6" t="str">
        <f aca="false">IF($A748="","",INDEX(PlanningItemsList,7))</f>
        <v>Kampas Kopling Set</v>
      </c>
      <c r="C748" s="7"/>
      <c r="D748" s="7"/>
    </row>
    <row r="749" customFormat="false" ht="15" hidden="false" customHeight="false" outlineLevel="0" collapsed="false">
      <c r="A749" s="6" t="str">
        <f aca="false">IF('DATA UNIT'!$B39="","",'DATA UNIT'!$B39)</f>
        <v>KT 8157 ZA</v>
      </c>
      <c r="B749" s="6" t="str">
        <f aca="false">IF($A749="","",INDEX(PlanningItemsList,8))</f>
        <v>Wiper Blade</v>
      </c>
      <c r="C749" s="7"/>
      <c r="D749" s="7"/>
    </row>
    <row r="750" customFormat="false" ht="15" hidden="false" customHeight="false" outlineLevel="0" collapsed="false">
      <c r="A750" s="6" t="str">
        <f aca="false">IF('DATA UNIT'!$B39="","",'DATA UNIT'!$B39)</f>
        <v>KT 8157 ZA</v>
      </c>
      <c r="B750" s="6" t="str">
        <f aca="false">IF($A750="","",INDEX(PlanningItemsList,9))</f>
        <v>Ban Depan</v>
      </c>
      <c r="C750" s="7"/>
      <c r="D750" s="7"/>
    </row>
    <row r="751" customFormat="false" ht="15" hidden="false" customHeight="false" outlineLevel="0" collapsed="false">
      <c r="A751" s="6" t="str">
        <f aca="false">IF('DATA UNIT'!$B39="","",'DATA UNIT'!$B39)</f>
        <v>KT 8157 ZA</v>
      </c>
      <c r="B751" s="6" t="str">
        <f aca="false">IF($A751="","",INDEX(PlanningItemsList,10))</f>
        <v>Ban Belakang</v>
      </c>
      <c r="C751" s="7"/>
      <c r="D751" s="7"/>
    </row>
    <row r="752" customFormat="false" ht="15" hidden="false" customHeight="false" outlineLevel="0" collapsed="false">
      <c r="A752" s="6" t="str">
        <f aca="false">IF('DATA UNIT'!$B39="","",'DATA UNIT'!$B39)</f>
        <v>KT 8157 ZA</v>
      </c>
      <c r="B752" s="6" t="str">
        <f aca="false">IF($A752="","",INDEX(PlanningItemsList,11))</f>
        <v>Ban Serep</v>
      </c>
      <c r="C752" s="7"/>
      <c r="D752" s="7"/>
    </row>
    <row r="753" customFormat="false" ht="15" hidden="false" customHeight="false" outlineLevel="0" collapsed="false">
      <c r="A753" s="6" t="str">
        <f aca="false">IF('DATA UNIT'!$B39="","",'DATA UNIT'!$B39)</f>
        <v>KT 8157 ZA</v>
      </c>
      <c r="B753" s="6" t="str">
        <f aca="false">IF($A753="","",INDEX(PlanningItemsList,12))</f>
        <v>Greasing</v>
      </c>
      <c r="C753" s="7"/>
      <c r="D753" s="7"/>
    </row>
    <row r="754" customFormat="false" ht="15" hidden="false" customHeight="false" outlineLevel="0" collapsed="false">
      <c r="A754" s="6" t="str">
        <f aca="false">IF('DATA UNIT'!$B39="","",'DATA UNIT'!$B39)</f>
        <v>KT 8157 ZA</v>
      </c>
      <c r="B754" s="6" t="str">
        <f aca="false">IF($A754="","",INDEX(PlanningItemsList,13))</f>
        <v>V-Belt</v>
      </c>
      <c r="C754" s="7"/>
      <c r="D754" s="7"/>
    </row>
    <row r="755" customFormat="false" ht="15" hidden="false" customHeight="false" outlineLevel="0" collapsed="false">
      <c r="A755" s="6" t="str">
        <f aca="false">IF('DATA UNIT'!$B39="","",'DATA UNIT'!$B39)</f>
        <v>KT 8157 ZA</v>
      </c>
      <c r="B755" s="6" t="str">
        <f aca="false">IF($A755="","",INDEX(PlanningItemsList,14))</f>
        <v>Sarung Jok</v>
      </c>
      <c r="C755" s="7"/>
      <c r="D755" s="7"/>
    </row>
    <row r="756" customFormat="false" ht="15" hidden="false" customHeight="false" outlineLevel="0" collapsed="false">
      <c r="A756" s="6" t="str">
        <f aca="false">IF('DATA UNIT'!$B39="","",'DATA UNIT'!$B39)</f>
        <v>KT 8157 ZA</v>
      </c>
      <c r="B756" s="6" t="str">
        <f aca="false">IF($A756="","",INDEX(PlanningItemsList,15))</f>
        <v>Karpet Karet</v>
      </c>
      <c r="C756" s="7"/>
      <c r="D756" s="7"/>
    </row>
    <row r="757" customFormat="false" ht="15" hidden="false" customHeight="false" outlineLevel="0" collapsed="false">
      <c r="A757" s="6" t="str">
        <f aca="false">IF('DATA UNIT'!$B39="","",'DATA UNIT'!$B39)</f>
        <v>KT 8157 ZA</v>
      </c>
      <c r="B757" s="6" t="str">
        <f aca="false">IF($A757="","",INDEX(PlanningItemsList,16))</f>
        <v>Karpet Dasar</v>
      </c>
      <c r="C757" s="7"/>
      <c r="D757" s="7"/>
    </row>
    <row r="758" customFormat="false" ht="15" hidden="false" customHeight="false" outlineLevel="0" collapsed="false">
      <c r="A758" s="6" t="str">
        <f aca="false">IF('DATA UNIT'!$B39="","",'DATA UNIT'!$B39)</f>
        <v>KT 8157 ZA</v>
      </c>
      <c r="B758" s="6" t="str">
        <f aca="false">IF($A758="","",INDEX(PlanningItemsList,17))</f>
        <v>Flushing Radiator</v>
      </c>
      <c r="C758" s="7"/>
      <c r="D758" s="7"/>
    </row>
    <row r="759" customFormat="false" ht="15" hidden="false" customHeight="false" outlineLevel="0" collapsed="false">
      <c r="A759" s="6" t="str">
        <f aca="false">IF('DATA UNIT'!$B39="","",'DATA UNIT'!$B39)</f>
        <v>KT 8157 ZA</v>
      </c>
      <c r="B759" s="6" t="str">
        <f aca="false">IF($A759="","",INDEX(PlanningItemsList,18))</f>
        <v>Flushing Steering</v>
      </c>
      <c r="C759" s="7"/>
      <c r="D759" s="7"/>
    </row>
    <row r="760" customFormat="false" ht="15" hidden="false" customHeight="false" outlineLevel="0" collapsed="false">
      <c r="A760" s="6" t="str">
        <f aca="false">IF('DATA UNIT'!$B39="","",'DATA UNIT'!$B39)</f>
        <v>KT 8157 ZA</v>
      </c>
      <c r="B760" s="6" t="str">
        <f aca="false">IF($A760="","",INDEX(PlanningItemsList,19))</f>
        <v>Flushing Injector</v>
      </c>
      <c r="C760" s="7"/>
      <c r="D760" s="7"/>
    </row>
    <row r="761" customFormat="false" ht="15" hidden="false" customHeight="false" outlineLevel="0" collapsed="false">
      <c r="A761" s="6" t="str">
        <f aca="false">IF('DATA UNIT'!$B39="","",'DATA UNIT'!$B39)</f>
        <v>KT 8157 ZA</v>
      </c>
      <c r="B761" s="6" t="str">
        <f aca="false">IF($A761="","",INDEX(PlanningItemsList,20))</f>
        <v>Flushing Rem</v>
      </c>
      <c r="C761" s="7"/>
      <c r="D761" s="7"/>
    </row>
    <row r="762" customFormat="false" ht="15" hidden="false" customHeight="false" outlineLevel="0" collapsed="false">
      <c r="A762" s="6" t="str">
        <f aca="false">IF('DATA UNIT'!$B40="","",'DATA UNIT'!$B40)</f>
        <v>KT 8870 ZE</v>
      </c>
      <c r="B762" s="6" t="str">
        <f aca="false">IF($A762="","",INDEX(PlanningItemsList,1))</f>
        <v>PM Check / Reguler Services</v>
      </c>
      <c r="C762" s="7"/>
      <c r="D762" s="7"/>
    </row>
    <row r="763" customFormat="false" ht="15" hidden="false" customHeight="false" outlineLevel="0" collapsed="false">
      <c r="A763" s="6" t="str">
        <f aca="false">IF('DATA UNIT'!$B40="","",'DATA UNIT'!$B40)</f>
        <v>KT 8870 ZE</v>
      </c>
      <c r="B763" s="6" t="str">
        <f aca="false">IF($A763="","",INDEX(PlanningItemsList,2))</f>
        <v>Service A</v>
      </c>
      <c r="C763" s="7"/>
      <c r="D763" s="7"/>
    </row>
    <row r="764" customFormat="false" ht="15" hidden="false" customHeight="false" outlineLevel="0" collapsed="false">
      <c r="A764" s="6" t="str">
        <f aca="false">IF('DATA UNIT'!$B40="","",'DATA UNIT'!$B40)</f>
        <v>KT 8870 ZE</v>
      </c>
      <c r="B764" s="6" t="str">
        <f aca="false">IF($A764="","",INDEX(PlanningItemsList,3))</f>
        <v>Service B</v>
      </c>
      <c r="C764" s="7"/>
      <c r="D764" s="7"/>
    </row>
    <row r="765" customFormat="false" ht="15" hidden="false" customHeight="false" outlineLevel="0" collapsed="false">
      <c r="A765" s="6" t="str">
        <f aca="false">IF('DATA UNIT'!$B40="","",'DATA UNIT'!$B40)</f>
        <v>KT 8870 ZE</v>
      </c>
      <c r="B765" s="6" t="str">
        <f aca="false">IF($A765="","",INDEX(PlanningItemsList,4))</f>
        <v>Brake Pad</v>
      </c>
      <c r="C765" s="7"/>
      <c r="D765" s="7"/>
    </row>
    <row r="766" customFormat="false" ht="15" hidden="false" customHeight="false" outlineLevel="0" collapsed="false">
      <c r="A766" s="6" t="str">
        <f aca="false">IF('DATA UNIT'!$B40="","",'DATA UNIT'!$B40)</f>
        <v>KT 8870 ZE</v>
      </c>
      <c r="B766" s="6" t="str">
        <f aca="false">IF($A766="","",INDEX(PlanningItemsList,5))</f>
        <v>Brake Shoe</v>
      </c>
      <c r="C766" s="7"/>
      <c r="D766" s="7"/>
    </row>
    <row r="767" customFormat="false" ht="15" hidden="false" customHeight="false" outlineLevel="0" collapsed="false">
      <c r="A767" s="6" t="str">
        <f aca="false">IF('DATA UNIT'!$B40="","",'DATA UNIT'!$B40)</f>
        <v>KT 8870 ZE</v>
      </c>
      <c r="B767" s="6" t="str">
        <f aca="false">IF($A767="","",INDEX(PlanningItemsList,6))</f>
        <v>Accu</v>
      </c>
      <c r="C767" s="7"/>
      <c r="D767" s="7"/>
    </row>
    <row r="768" customFormat="false" ht="15" hidden="false" customHeight="false" outlineLevel="0" collapsed="false">
      <c r="A768" s="6" t="str">
        <f aca="false">IF('DATA UNIT'!$B40="","",'DATA UNIT'!$B40)</f>
        <v>KT 8870 ZE</v>
      </c>
      <c r="B768" s="6" t="str">
        <f aca="false">IF($A768="","",INDEX(PlanningItemsList,7))</f>
        <v>Kampas Kopling Set</v>
      </c>
      <c r="C768" s="7"/>
      <c r="D768" s="7"/>
    </row>
    <row r="769" customFormat="false" ht="15" hidden="false" customHeight="false" outlineLevel="0" collapsed="false">
      <c r="A769" s="6" t="str">
        <f aca="false">IF('DATA UNIT'!$B40="","",'DATA UNIT'!$B40)</f>
        <v>KT 8870 ZE</v>
      </c>
      <c r="B769" s="6" t="str">
        <f aca="false">IF($A769="","",INDEX(PlanningItemsList,8))</f>
        <v>Wiper Blade</v>
      </c>
      <c r="C769" s="7"/>
      <c r="D769" s="7"/>
    </row>
    <row r="770" customFormat="false" ht="15" hidden="false" customHeight="false" outlineLevel="0" collapsed="false">
      <c r="A770" s="6" t="str">
        <f aca="false">IF('DATA UNIT'!$B40="","",'DATA UNIT'!$B40)</f>
        <v>KT 8870 ZE</v>
      </c>
      <c r="B770" s="6" t="str">
        <f aca="false">IF($A770="","",INDEX(PlanningItemsList,9))</f>
        <v>Ban Depan</v>
      </c>
      <c r="C770" s="7"/>
      <c r="D770" s="7"/>
    </row>
    <row r="771" customFormat="false" ht="15" hidden="false" customHeight="false" outlineLevel="0" collapsed="false">
      <c r="A771" s="6" t="str">
        <f aca="false">IF('DATA UNIT'!$B40="","",'DATA UNIT'!$B40)</f>
        <v>KT 8870 ZE</v>
      </c>
      <c r="B771" s="6" t="str">
        <f aca="false">IF($A771="","",INDEX(PlanningItemsList,10))</f>
        <v>Ban Belakang</v>
      </c>
      <c r="C771" s="7"/>
      <c r="D771" s="7"/>
    </row>
    <row r="772" customFormat="false" ht="15" hidden="false" customHeight="false" outlineLevel="0" collapsed="false">
      <c r="A772" s="6" t="str">
        <f aca="false">IF('DATA UNIT'!$B40="","",'DATA UNIT'!$B40)</f>
        <v>KT 8870 ZE</v>
      </c>
      <c r="B772" s="6" t="str">
        <f aca="false">IF($A772="","",INDEX(PlanningItemsList,11))</f>
        <v>Ban Serep</v>
      </c>
      <c r="C772" s="7"/>
      <c r="D772" s="7"/>
    </row>
    <row r="773" customFormat="false" ht="15" hidden="false" customHeight="false" outlineLevel="0" collapsed="false">
      <c r="A773" s="6" t="str">
        <f aca="false">IF('DATA UNIT'!$B40="","",'DATA UNIT'!$B40)</f>
        <v>KT 8870 ZE</v>
      </c>
      <c r="B773" s="6" t="str">
        <f aca="false">IF($A773="","",INDEX(PlanningItemsList,12))</f>
        <v>Greasing</v>
      </c>
      <c r="C773" s="7"/>
      <c r="D773" s="7"/>
    </row>
    <row r="774" customFormat="false" ht="15" hidden="false" customHeight="false" outlineLevel="0" collapsed="false">
      <c r="A774" s="6" t="str">
        <f aca="false">IF('DATA UNIT'!$B40="","",'DATA UNIT'!$B40)</f>
        <v>KT 8870 ZE</v>
      </c>
      <c r="B774" s="6" t="str">
        <f aca="false">IF($A774="","",INDEX(PlanningItemsList,13))</f>
        <v>V-Belt</v>
      </c>
      <c r="C774" s="7"/>
      <c r="D774" s="7"/>
    </row>
    <row r="775" customFormat="false" ht="15" hidden="false" customHeight="false" outlineLevel="0" collapsed="false">
      <c r="A775" s="6" t="str">
        <f aca="false">IF('DATA UNIT'!$B40="","",'DATA UNIT'!$B40)</f>
        <v>KT 8870 ZE</v>
      </c>
      <c r="B775" s="6" t="str">
        <f aca="false">IF($A775="","",INDEX(PlanningItemsList,14))</f>
        <v>Sarung Jok</v>
      </c>
      <c r="C775" s="7"/>
      <c r="D775" s="7"/>
    </row>
    <row r="776" customFormat="false" ht="15" hidden="false" customHeight="false" outlineLevel="0" collapsed="false">
      <c r="A776" s="6" t="str">
        <f aca="false">IF('DATA UNIT'!$B40="","",'DATA UNIT'!$B40)</f>
        <v>KT 8870 ZE</v>
      </c>
      <c r="B776" s="6" t="str">
        <f aca="false">IF($A776="","",INDEX(PlanningItemsList,15))</f>
        <v>Karpet Karet</v>
      </c>
      <c r="C776" s="7"/>
      <c r="D776" s="7"/>
    </row>
    <row r="777" customFormat="false" ht="15" hidden="false" customHeight="false" outlineLevel="0" collapsed="false">
      <c r="A777" s="6" t="str">
        <f aca="false">IF('DATA UNIT'!$B40="","",'DATA UNIT'!$B40)</f>
        <v>KT 8870 ZE</v>
      </c>
      <c r="B777" s="6" t="str">
        <f aca="false">IF($A777="","",INDEX(PlanningItemsList,16))</f>
        <v>Karpet Dasar</v>
      </c>
      <c r="C777" s="7"/>
      <c r="D777" s="7"/>
    </row>
    <row r="778" customFormat="false" ht="15" hidden="false" customHeight="false" outlineLevel="0" collapsed="false">
      <c r="A778" s="6" t="str">
        <f aca="false">IF('DATA UNIT'!$B40="","",'DATA UNIT'!$B40)</f>
        <v>KT 8870 ZE</v>
      </c>
      <c r="B778" s="6" t="str">
        <f aca="false">IF($A778="","",INDEX(PlanningItemsList,17))</f>
        <v>Flushing Radiator</v>
      </c>
      <c r="C778" s="7"/>
      <c r="D778" s="7"/>
    </row>
    <row r="779" customFormat="false" ht="15" hidden="false" customHeight="false" outlineLevel="0" collapsed="false">
      <c r="A779" s="6" t="str">
        <f aca="false">IF('DATA UNIT'!$B40="","",'DATA UNIT'!$B40)</f>
        <v>KT 8870 ZE</v>
      </c>
      <c r="B779" s="6" t="str">
        <f aca="false">IF($A779="","",INDEX(PlanningItemsList,18))</f>
        <v>Flushing Steering</v>
      </c>
      <c r="C779" s="7"/>
      <c r="D779" s="7"/>
    </row>
    <row r="780" customFormat="false" ht="15" hidden="false" customHeight="false" outlineLevel="0" collapsed="false">
      <c r="A780" s="6" t="str">
        <f aca="false">IF('DATA UNIT'!$B40="","",'DATA UNIT'!$B40)</f>
        <v>KT 8870 ZE</v>
      </c>
      <c r="B780" s="6" t="str">
        <f aca="false">IF($A780="","",INDEX(PlanningItemsList,19))</f>
        <v>Flushing Injector</v>
      </c>
      <c r="C780" s="7"/>
      <c r="D780" s="7"/>
    </row>
    <row r="781" customFormat="false" ht="15" hidden="false" customHeight="false" outlineLevel="0" collapsed="false">
      <c r="A781" s="6" t="str">
        <f aca="false">IF('DATA UNIT'!$B40="","",'DATA UNIT'!$B40)</f>
        <v>KT 8870 ZE</v>
      </c>
      <c r="B781" s="6" t="str">
        <f aca="false">IF($A781="","",INDEX(PlanningItemsList,20))</f>
        <v>Flushing Rem</v>
      </c>
      <c r="C781" s="7"/>
      <c r="D781" s="7"/>
    </row>
    <row r="782" customFormat="false" ht="15" hidden="false" customHeight="false" outlineLevel="0" collapsed="false">
      <c r="A782" s="6" t="str">
        <f aca="false">IF('DATA UNIT'!$B41="","",'DATA UNIT'!$B41)</f>
        <v>KT 8307 ZF</v>
      </c>
      <c r="B782" s="6" t="str">
        <f aca="false">IF($A782="","",INDEX(PlanningItemsList,1))</f>
        <v>PM Check / Reguler Services</v>
      </c>
      <c r="C782" s="7"/>
      <c r="D782" s="7"/>
    </row>
    <row r="783" customFormat="false" ht="15" hidden="false" customHeight="false" outlineLevel="0" collapsed="false">
      <c r="A783" s="6" t="str">
        <f aca="false">IF('DATA UNIT'!$B41="","",'DATA UNIT'!$B41)</f>
        <v>KT 8307 ZF</v>
      </c>
      <c r="B783" s="6" t="str">
        <f aca="false">IF($A783="","",INDEX(PlanningItemsList,2))</f>
        <v>Service A</v>
      </c>
      <c r="C783" s="7"/>
      <c r="D783" s="7"/>
    </row>
    <row r="784" customFormat="false" ht="15" hidden="false" customHeight="false" outlineLevel="0" collapsed="false">
      <c r="A784" s="6" t="str">
        <f aca="false">IF('DATA UNIT'!$B41="","",'DATA UNIT'!$B41)</f>
        <v>KT 8307 ZF</v>
      </c>
      <c r="B784" s="6" t="str">
        <f aca="false">IF($A784="","",INDEX(PlanningItemsList,3))</f>
        <v>Service B</v>
      </c>
      <c r="C784" s="7"/>
      <c r="D784" s="7"/>
    </row>
    <row r="785" customFormat="false" ht="15" hidden="false" customHeight="false" outlineLevel="0" collapsed="false">
      <c r="A785" s="6" t="str">
        <f aca="false">IF('DATA UNIT'!$B41="","",'DATA UNIT'!$B41)</f>
        <v>KT 8307 ZF</v>
      </c>
      <c r="B785" s="6" t="str">
        <f aca="false">IF($A785="","",INDEX(PlanningItemsList,4))</f>
        <v>Brake Pad</v>
      </c>
      <c r="C785" s="7"/>
      <c r="D785" s="7"/>
    </row>
    <row r="786" customFormat="false" ht="15" hidden="false" customHeight="false" outlineLevel="0" collapsed="false">
      <c r="A786" s="6" t="str">
        <f aca="false">IF('DATA UNIT'!$B41="","",'DATA UNIT'!$B41)</f>
        <v>KT 8307 ZF</v>
      </c>
      <c r="B786" s="6" t="str">
        <f aca="false">IF($A786="","",INDEX(PlanningItemsList,5))</f>
        <v>Brake Shoe</v>
      </c>
      <c r="C786" s="7"/>
      <c r="D786" s="7"/>
    </row>
    <row r="787" customFormat="false" ht="15" hidden="false" customHeight="false" outlineLevel="0" collapsed="false">
      <c r="A787" s="6" t="str">
        <f aca="false">IF('DATA UNIT'!$B41="","",'DATA UNIT'!$B41)</f>
        <v>KT 8307 ZF</v>
      </c>
      <c r="B787" s="6" t="str">
        <f aca="false">IF($A787="","",INDEX(PlanningItemsList,6))</f>
        <v>Accu</v>
      </c>
      <c r="C787" s="7"/>
      <c r="D787" s="7"/>
    </row>
    <row r="788" customFormat="false" ht="15" hidden="false" customHeight="false" outlineLevel="0" collapsed="false">
      <c r="A788" s="6" t="str">
        <f aca="false">IF('DATA UNIT'!$B41="","",'DATA UNIT'!$B41)</f>
        <v>KT 8307 ZF</v>
      </c>
      <c r="B788" s="6" t="str">
        <f aca="false">IF($A788="","",INDEX(PlanningItemsList,7))</f>
        <v>Kampas Kopling Set</v>
      </c>
      <c r="C788" s="7"/>
      <c r="D788" s="7"/>
    </row>
    <row r="789" customFormat="false" ht="15" hidden="false" customHeight="false" outlineLevel="0" collapsed="false">
      <c r="A789" s="6" t="str">
        <f aca="false">IF('DATA UNIT'!$B41="","",'DATA UNIT'!$B41)</f>
        <v>KT 8307 ZF</v>
      </c>
      <c r="B789" s="6" t="str">
        <f aca="false">IF($A789="","",INDEX(PlanningItemsList,8))</f>
        <v>Wiper Blade</v>
      </c>
      <c r="C789" s="7"/>
      <c r="D789" s="7"/>
    </row>
    <row r="790" customFormat="false" ht="15" hidden="false" customHeight="false" outlineLevel="0" collapsed="false">
      <c r="A790" s="6" t="str">
        <f aca="false">IF('DATA UNIT'!$B41="","",'DATA UNIT'!$B41)</f>
        <v>KT 8307 ZF</v>
      </c>
      <c r="B790" s="6" t="str">
        <f aca="false">IF($A790="","",INDEX(PlanningItemsList,9))</f>
        <v>Ban Depan</v>
      </c>
      <c r="C790" s="7"/>
      <c r="D790" s="7"/>
    </row>
    <row r="791" customFormat="false" ht="15" hidden="false" customHeight="false" outlineLevel="0" collapsed="false">
      <c r="A791" s="6" t="str">
        <f aca="false">IF('DATA UNIT'!$B41="","",'DATA UNIT'!$B41)</f>
        <v>KT 8307 ZF</v>
      </c>
      <c r="B791" s="6" t="str">
        <f aca="false">IF($A791="","",INDEX(PlanningItemsList,10))</f>
        <v>Ban Belakang</v>
      </c>
      <c r="C791" s="7"/>
      <c r="D791" s="7"/>
    </row>
    <row r="792" customFormat="false" ht="15" hidden="false" customHeight="false" outlineLevel="0" collapsed="false">
      <c r="A792" s="6" t="str">
        <f aca="false">IF('DATA UNIT'!$B41="","",'DATA UNIT'!$B41)</f>
        <v>KT 8307 ZF</v>
      </c>
      <c r="B792" s="6" t="str">
        <f aca="false">IF($A792="","",INDEX(PlanningItemsList,11))</f>
        <v>Ban Serep</v>
      </c>
      <c r="C792" s="7"/>
      <c r="D792" s="7"/>
    </row>
    <row r="793" customFormat="false" ht="15" hidden="false" customHeight="false" outlineLevel="0" collapsed="false">
      <c r="A793" s="6" t="str">
        <f aca="false">IF('DATA UNIT'!$B41="","",'DATA UNIT'!$B41)</f>
        <v>KT 8307 ZF</v>
      </c>
      <c r="B793" s="6" t="str">
        <f aca="false">IF($A793="","",INDEX(PlanningItemsList,12))</f>
        <v>Greasing</v>
      </c>
      <c r="C793" s="7"/>
      <c r="D793" s="7"/>
    </row>
    <row r="794" customFormat="false" ht="15" hidden="false" customHeight="false" outlineLevel="0" collapsed="false">
      <c r="A794" s="6" t="str">
        <f aca="false">IF('DATA UNIT'!$B41="","",'DATA UNIT'!$B41)</f>
        <v>KT 8307 ZF</v>
      </c>
      <c r="B794" s="6" t="str">
        <f aca="false">IF($A794="","",INDEX(PlanningItemsList,13))</f>
        <v>V-Belt</v>
      </c>
      <c r="C794" s="7"/>
      <c r="D794" s="7"/>
    </row>
    <row r="795" customFormat="false" ht="15" hidden="false" customHeight="false" outlineLevel="0" collapsed="false">
      <c r="A795" s="6" t="str">
        <f aca="false">IF('DATA UNIT'!$B41="","",'DATA UNIT'!$B41)</f>
        <v>KT 8307 ZF</v>
      </c>
      <c r="B795" s="6" t="str">
        <f aca="false">IF($A795="","",INDEX(PlanningItemsList,14))</f>
        <v>Sarung Jok</v>
      </c>
      <c r="C795" s="7"/>
      <c r="D795" s="7"/>
    </row>
    <row r="796" customFormat="false" ht="15" hidden="false" customHeight="false" outlineLevel="0" collapsed="false">
      <c r="A796" s="6" t="str">
        <f aca="false">IF('DATA UNIT'!$B41="","",'DATA UNIT'!$B41)</f>
        <v>KT 8307 ZF</v>
      </c>
      <c r="B796" s="6" t="str">
        <f aca="false">IF($A796="","",INDEX(PlanningItemsList,15))</f>
        <v>Karpet Karet</v>
      </c>
      <c r="C796" s="7"/>
      <c r="D796" s="7"/>
    </row>
    <row r="797" customFormat="false" ht="15" hidden="false" customHeight="false" outlineLevel="0" collapsed="false">
      <c r="A797" s="6" t="str">
        <f aca="false">IF('DATA UNIT'!$B41="","",'DATA UNIT'!$B41)</f>
        <v>KT 8307 ZF</v>
      </c>
      <c r="B797" s="6" t="str">
        <f aca="false">IF($A797="","",INDEX(PlanningItemsList,16))</f>
        <v>Karpet Dasar</v>
      </c>
      <c r="C797" s="7"/>
      <c r="D797" s="7"/>
    </row>
    <row r="798" customFormat="false" ht="15" hidden="false" customHeight="false" outlineLevel="0" collapsed="false">
      <c r="A798" s="6" t="str">
        <f aca="false">IF('DATA UNIT'!$B41="","",'DATA UNIT'!$B41)</f>
        <v>KT 8307 ZF</v>
      </c>
      <c r="B798" s="6" t="str">
        <f aca="false">IF($A798="","",INDEX(PlanningItemsList,17))</f>
        <v>Flushing Radiator</v>
      </c>
      <c r="C798" s="7"/>
      <c r="D798" s="7"/>
    </row>
    <row r="799" customFormat="false" ht="15" hidden="false" customHeight="false" outlineLevel="0" collapsed="false">
      <c r="A799" s="6" t="str">
        <f aca="false">IF('DATA UNIT'!$B41="","",'DATA UNIT'!$B41)</f>
        <v>KT 8307 ZF</v>
      </c>
      <c r="B799" s="6" t="str">
        <f aca="false">IF($A799="","",INDEX(PlanningItemsList,18))</f>
        <v>Flushing Steering</v>
      </c>
      <c r="C799" s="7"/>
      <c r="D799" s="7"/>
    </row>
    <row r="800" customFormat="false" ht="15" hidden="false" customHeight="false" outlineLevel="0" collapsed="false">
      <c r="A800" s="6" t="str">
        <f aca="false">IF('DATA UNIT'!$B41="","",'DATA UNIT'!$B41)</f>
        <v>KT 8307 ZF</v>
      </c>
      <c r="B800" s="6" t="str">
        <f aca="false">IF($A800="","",INDEX(PlanningItemsList,19))</f>
        <v>Flushing Injector</v>
      </c>
      <c r="C800" s="7"/>
      <c r="D800" s="7"/>
    </row>
    <row r="801" customFormat="false" ht="15" hidden="false" customHeight="false" outlineLevel="0" collapsed="false">
      <c r="A801" s="6" t="str">
        <f aca="false">IF('DATA UNIT'!$B41="","",'DATA UNIT'!$B41)</f>
        <v>KT 8307 ZF</v>
      </c>
      <c r="B801" s="6" t="str">
        <f aca="false">IF($A801="","",INDEX(PlanningItemsList,20))</f>
        <v>Flushing Rem</v>
      </c>
      <c r="C801" s="7"/>
      <c r="D801" s="7"/>
    </row>
    <row r="802" customFormat="false" ht="15" hidden="false" customHeight="false" outlineLevel="0" collapsed="false">
      <c r="A802" s="6" t="str">
        <f aca="false">IF('DATA UNIT'!$B42="","",'DATA UNIT'!$B42)</f>
        <v>B 2213 UYO</v>
      </c>
      <c r="B802" s="6" t="str">
        <f aca="false">IF($A802="","",INDEX(PlanningItemsList,1))</f>
        <v>PM Check / Reguler Services</v>
      </c>
      <c r="C802" s="7"/>
      <c r="D802" s="7"/>
    </row>
    <row r="803" customFormat="false" ht="15" hidden="false" customHeight="false" outlineLevel="0" collapsed="false">
      <c r="A803" s="6" t="str">
        <f aca="false">IF('DATA UNIT'!$B42="","",'DATA UNIT'!$B42)</f>
        <v>B 2213 UYO</v>
      </c>
      <c r="B803" s="6" t="str">
        <f aca="false">IF($A803="","",INDEX(PlanningItemsList,2))</f>
        <v>Service A</v>
      </c>
      <c r="C803" s="7"/>
      <c r="D803" s="7"/>
    </row>
    <row r="804" customFormat="false" ht="15" hidden="false" customHeight="false" outlineLevel="0" collapsed="false">
      <c r="A804" s="6" t="str">
        <f aca="false">IF('DATA UNIT'!$B42="","",'DATA UNIT'!$B42)</f>
        <v>B 2213 UYO</v>
      </c>
      <c r="B804" s="6" t="str">
        <f aca="false">IF($A804="","",INDEX(PlanningItemsList,3))</f>
        <v>Service B</v>
      </c>
      <c r="C804" s="7"/>
      <c r="D804" s="7"/>
    </row>
    <row r="805" customFormat="false" ht="15" hidden="false" customHeight="false" outlineLevel="0" collapsed="false">
      <c r="A805" s="6" t="str">
        <f aca="false">IF('DATA UNIT'!$B42="","",'DATA UNIT'!$B42)</f>
        <v>B 2213 UYO</v>
      </c>
      <c r="B805" s="6" t="str">
        <f aca="false">IF($A805="","",INDEX(PlanningItemsList,4))</f>
        <v>Brake Pad</v>
      </c>
      <c r="C805" s="7"/>
      <c r="D805" s="7"/>
    </row>
    <row r="806" customFormat="false" ht="15" hidden="false" customHeight="false" outlineLevel="0" collapsed="false">
      <c r="A806" s="6" t="str">
        <f aca="false">IF('DATA UNIT'!$B42="","",'DATA UNIT'!$B42)</f>
        <v>B 2213 UYO</v>
      </c>
      <c r="B806" s="6" t="str">
        <f aca="false">IF($A806="","",INDEX(PlanningItemsList,5))</f>
        <v>Brake Shoe</v>
      </c>
      <c r="C806" s="7"/>
      <c r="D806" s="7"/>
    </row>
    <row r="807" customFormat="false" ht="15" hidden="false" customHeight="false" outlineLevel="0" collapsed="false">
      <c r="A807" s="6" t="str">
        <f aca="false">IF('DATA UNIT'!$B42="","",'DATA UNIT'!$B42)</f>
        <v>B 2213 UYO</v>
      </c>
      <c r="B807" s="6" t="str">
        <f aca="false">IF($A807="","",INDEX(PlanningItemsList,6))</f>
        <v>Accu</v>
      </c>
      <c r="C807" s="7"/>
      <c r="D807" s="7"/>
    </row>
    <row r="808" customFormat="false" ht="15" hidden="false" customHeight="false" outlineLevel="0" collapsed="false">
      <c r="A808" s="6" t="str">
        <f aca="false">IF('DATA UNIT'!$B42="","",'DATA UNIT'!$B42)</f>
        <v>B 2213 UYO</v>
      </c>
      <c r="B808" s="6" t="str">
        <f aca="false">IF($A808="","",INDEX(PlanningItemsList,7))</f>
        <v>Kampas Kopling Set</v>
      </c>
      <c r="C808" s="7"/>
      <c r="D808" s="7"/>
    </row>
    <row r="809" customFormat="false" ht="15" hidden="false" customHeight="false" outlineLevel="0" collapsed="false">
      <c r="A809" s="6" t="str">
        <f aca="false">IF('DATA UNIT'!$B42="","",'DATA UNIT'!$B42)</f>
        <v>B 2213 UYO</v>
      </c>
      <c r="B809" s="6" t="str">
        <f aca="false">IF($A809="","",INDEX(PlanningItemsList,8))</f>
        <v>Wiper Blade</v>
      </c>
      <c r="C809" s="7"/>
      <c r="D809" s="7"/>
    </row>
    <row r="810" customFormat="false" ht="15" hidden="false" customHeight="false" outlineLevel="0" collapsed="false">
      <c r="A810" s="6" t="str">
        <f aca="false">IF('DATA UNIT'!$B42="","",'DATA UNIT'!$B42)</f>
        <v>B 2213 UYO</v>
      </c>
      <c r="B810" s="6" t="str">
        <f aca="false">IF($A810="","",INDEX(PlanningItemsList,9))</f>
        <v>Ban Depan</v>
      </c>
      <c r="C810" s="7"/>
      <c r="D810" s="7"/>
    </row>
    <row r="811" customFormat="false" ht="15" hidden="false" customHeight="false" outlineLevel="0" collapsed="false">
      <c r="A811" s="6" t="str">
        <f aca="false">IF('DATA UNIT'!$B42="","",'DATA UNIT'!$B42)</f>
        <v>B 2213 UYO</v>
      </c>
      <c r="B811" s="6" t="str">
        <f aca="false">IF($A811="","",INDEX(PlanningItemsList,10))</f>
        <v>Ban Belakang</v>
      </c>
      <c r="C811" s="7"/>
      <c r="D811" s="7"/>
    </row>
    <row r="812" customFormat="false" ht="15" hidden="false" customHeight="false" outlineLevel="0" collapsed="false">
      <c r="A812" s="6" t="str">
        <f aca="false">IF('DATA UNIT'!$B42="","",'DATA UNIT'!$B42)</f>
        <v>B 2213 UYO</v>
      </c>
      <c r="B812" s="6" t="str">
        <f aca="false">IF($A812="","",INDEX(PlanningItemsList,11))</f>
        <v>Ban Serep</v>
      </c>
      <c r="C812" s="7"/>
      <c r="D812" s="7"/>
    </row>
    <row r="813" customFormat="false" ht="15" hidden="false" customHeight="false" outlineLevel="0" collapsed="false">
      <c r="A813" s="6" t="str">
        <f aca="false">IF('DATA UNIT'!$B42="","",'DATA UNIT'!$B42)</f>
        <v>B 2213 UYO</v>
      </c>
      <c r="B813" s="6" t="str">
        <f aca="false">IF($A813="","",INDEX(PlanningItemsList,12))</f>
        <v>Greasing</v>
      </c>
      <c r="C813" s="7"/>
      <c r="D813" s="7"/>
    </row>
    <row r="814" customFormat="false" ht="15" hidden="false" customHeight="false" outlineLevel="0" collapsed="false">
      <c r="A814" s="6" t="str">
        <f aca="false">IF('DATA UNIT'!$B42="","",'DATA UNIT'!$B42)</f>
        <v>B 2213 UYO</v>
      </c>
      <c r="B814" s="6" t="str">
        <f aca="false">IF($A814="","",INDEX(PlanningItemsList,13))</f>
        <v>V-Belt</v>
      </c>
      <c r="C814" s="7"/>
      <c r="D814" s="7"/>
    </row>
    <row r="815" customFormat="false" ht="15" hidden="false" customHeight="false" outlineLevel="0" collapsed="false">
      <c r="A815" s="6" t="str">
        <f aca="false">IF('DATA UNIT'!$B42="","",'DATA UNIT'!$B42)</f>
        <v>B 2213 UYO</v>
      </c>
      <c r="B815" s="6" t="str">
        <f aca="false">IF($A815="","",INDEX(PlanningItemsList,14))</f>
        <v>Sarung Jok</v>
      </c>
      <c r="C815" s="7"/>
      <c r="D815" s="7"/>
    </row>
    <row r="816" customFormat="false" ht="15" hidden="false" customHeight="false" outlineLevel="0" collapsed="false">
      <c r="A816" s="6" t="str">
        <f aca="false">IF('DATA UNIT'!$B42="","",'DATA UNIT'!$B42)</f>
        <v>B 2213 UYO</v>
      </c>
      <c r="B816" s="6" t="str">
        <f aca="false">IF($A816="","",INDEX(PlanningItemsList,15))</f>
        <v>Karpet Karet</v>
      </c>
      <c r="C816" s="7"/>
      <c r="D816" s="7"/>
    </row>
    <row r="817" customFormat="false" ht="15" hidden="false" customHeight="false" outlineLevel="0" collapsed="false">
      <c r="A817" s="6" t="str">
        <f aca="false">IF('DATA UNIT'!$B42="","",'DATA UNIT'!$B42)</f>
        <v>B 2213 UYO</v>
      </c>
      <c r="B817" s="6" t="str">
        <f aca="false">IF($A817="","",INDEX(PlanningItemsList,16))</f>
        <v>Karpet Dasar</v>
      </c>
      <c r="C817" s="7"/>
      <c r="D817" s="7"/>
    </row>
    <row r="818" customFormat="false" ht="15" hidden="false" customHeight="false" outlineLevel="0" collapsed="false">
      <c r="A818" s="6" t="str">
        <f aca="false">IF('DATA UNIT'!$B42="","",'DATA UNIT'!$B42)</f>
        <v>B 2213 UYO</v>
      </c>
      <c r="B818" s="6" t="str">
        <f aca="false">IF($A818="","",INDEX(PlanningItemsList,17))</f>
        <v>Flushing Radiator</v>
      </c>
      <c r="C818" s="7"/>
      <c r="D818" s="7"/>
    </row>
    <row r="819" customFormat="false" ht="15" hidden="false" customHeight="false" outlineLevel="0" collapsed="false">
      <c r="A819" s="6" t="str">
        <f aca="false">IF('DATA UNIT'!$B42="","",'DATA UNIT'!$B42)</f>
        <v>B 2213 UYO</v>
      </c>
      <c r="B819" s="6" t="str">
        <f aca="false">IF($A819="","",INDEX(PlanningItemsList,18))</f>
        <v>Flushing Steering</v>
      </c>
      <c r="C819" s="7"/>
      <c r="D819" s="7"/>
    </row>
    <row r="820" customFormat="false" ht="15" hidden="false" customHeight="false" outlineLevel="0" collapsed="false">
      <c r="A820" s="6" t="str">
        <f aca="false">IF('DATA UNIT'!$B42="","",'DATA UNIT'!$B42)</f>
        <v>B 2213 UYO</v>
      </c>
      <c r="B820" s="6" t="str">
        <f aca="false">IF($A820="","",INDEX(PlanningItemsList,19))</f>
        <v>Flushing Injector</v>
      </c>
      <c r="C820" s="7"/>
      <c r="D820" s="7"/>
    </row>
    <row r="821" customFormat="false" ht="15" hidden="false" customHeight="false" outlineLevel="0" collapsed="false">
      <c r="A821" s="6" t="str">
        <f aca="false">IF('DATA UNIT'!$B42="","",'DATA UNIT'!$B42)</f>
        <v>B 2213 UYO</v>
      </c>
      <c r="B821" s="6" t="str">
        <f aca="false">IF($A821="","",INDEX(PlanningItemsList,20))</f>
        <v>Flushing Rem</v>
      </c>
      <c r="C821" s="7"/>
      <c r="D821" s="7"/>
    </row>
    <row r="822" customFormat="false" ht="15" hidden="false" customHeight="false" outlineLevel="0" collapsed="false">
      <c r="A822" s="6" t="str">
        <f aca="false">IF('DATA UNIT'!$B43="","",'DATA UNIT'!$B43)</f>
        <v>DD 8468 UY</v>
      </c>
      <c r="B822" s="6" t="str">
        <f aca="false">IF($A822="","",INDEX(PlanningItemsList,1))</f>
        <v>PM Check / Reguler Services</v>
      </c>
      <c r="C822" s="7"/>
      <c r="D822" s="7"/>
    </row>
    <row r="823" customFormat="false" ht="15" hidden="false" customHeight="false" outlineLevel="0" collapsed="false">
      <c r="A823" s="6" t="str">
        <f aca="false">IF('DATA UNIT'!$B43="","",'DATA UNIT'!$B43)</f>
        <v>DD 8468 UY</v>
      </c>
      <c r="B823" s="6" t="str">
        <f aca="false">IF($A823="","",INDEX(PlanningItemsList,2))</f>
        <v>Service A</v>
      </c>
      <c r="C823" s="7"/>
      <c r="D823" s="7"/>
    </row>
    <row r="824" customFormat="false" ht="15" hidden="false" customHeight="false" outlineLevel="0" collapsed="false">
      <c r="A824" s="6" t="str">
        <f aca="false">IF('DATA UNIT'!$B43="","",'DATA UNIT'!$B43)</f>
        <v>DD 8468 UY</v>
      </c>
      <c r="B824" s="6" t="str">
        <f aca="false">IF($A824="","",INDEX(PlanningItemsList,3))</f>
        <v>Service B</v>
      </c>
      <c r="C824" s="7"/>
      <c r="D824" s="7"/>
    </row>
    <row r="825" customFormat="false" ht="15" hidden="false" customHeight="false" outlineLevel="0" collapsed="false">
      <c r="A825" s="6" t="str">
        <f aca="false">IF('DATA UNIT'!$B43="","",'DATA UNIT'!$B43)</f>
        <v>DD 8468 UY</v>
      </c>
      <c r="B825" s="6" t="str">
        <f aca="false">IF($A825="","",INDEX(PlanningItemsList,4))</f>
        <v>Brake Pad</v>
      </c>
      <c r="C825" s="7"/>
      <c r="D825" s="7"/>
    </row>
    <row r="826" customFormat="false" ht="15" hidden="false" customHeight="false" outlineLevel="0" collapsed="false">
      <c r="A826" s="6" t="str">
        <f aca="false">IF('DATA UNIT'!$B43="","",'DATA UNIT'!$B43)</f>
        <v>DD 8468 UY</v>
      </c>
      <c r="B826" s="6" t="str">
        <f aca="false">IF($A826="","",INDEX(PlanningItemsList,5))</f>
        <v>Brake Shoe</v>
      </c>
      <c r="C826" s="7"/>
      <c r="D826" s="7"/>
    </row>
    <row r="827" customFormat="false" ht="15" hidden="false" customHeight="false" outlineLevel="0" collapsed="false">
      <c r="A827" s="6" t="str">
        <f aca="false">IF('DATA UNIT'!$B43="","",'DATA UNIT'!$B43)</f>
        <v>DD 8468 UY</v>
      </c>
      <c r="B827" s="6" t="str">
        <f aca="false">IF($A827="","",INDEX(PlanningItemsList,6))</f>
        <v>Accu</v>
      </c>
      <c r="C827" s="7"/>
      <c r="D827" s="7"/>
    </row>
    <row r="828" customFormat="false" ht="15" hidden="false" customHeight="false" outlineLevel="0" collapsed="false">
      <c r="A828" s="6" t="str">
        <f aca="false">IF('DATA UNIT'!$B43="","",'DATA UNIT'!$B43)</f>
        <v>DD 8468 UY</v>
      </c>
      <c r="B828" s="6" t="str">
        <f aca="false">IF($A828="","",INDEX(PlanningItemsList,7))</f>
        <v>Kampas Kopling Set</v>
      </c>
      <c r="C828" s="7"/>
      <c r="D828" s="7"/>
    </row>
    <row r="829" customFormat="false" ht="15" hidden="false" customHeight="false" outlineLevel="0" collapsed="false">
      <c r="A829" s="6" t="str">
        <f aca="false">IF('DATA UNIT'!$B43="","",'DATA UNIT'!$B43)</f>
        <v>DD 8468 UY</v>
      </c>
      <c r="B829" s="6" t="str">
        <f aca="false">IF($A829="","",INDEX(PlanningItemsList,8))</f>
        <v>Wiper Blade</v>
      </c>
      <c r="C829" s="7"/>
      <c r="D829" s="7"/>
    </row>
    <row r="830" customFormat="false" ht="15" hidden="false" customHeight="false" outlineLevel="0" collapsed="false">
      <c r="A830" s="6" t="str">
        <f aca="false">IF('DATA UNIT'!$B43="","",'DATA UNIT'!$B43)</f>
        <v>DD 8468 UY</v>
      </c>
      <c r="B830" s="6" t="str">
        <f aca="false">IF($A830="","",INDEX(PlanningItemsList,9))</f>
        <v>Ban Depan</v>
      </c>
      <c r="C830" s="7"/>
      <c r="D830" s="7"/>
    </row>
    <row r="831" customFormat="false" ht="15" hidden="false" customHeight="false" outlineLevel="0" collapsed="false">
      <c r="A831" s="6" t="str">
        <f aca="false">IF('DATA UNIT'!$B43="","",'DATA UNIT'!$B43)</f>
        <v>DD 8468 UY</v>
      </c>
      <c r="B831" s="6" t="str">
        <f aca="false">IF($A831="","",INDEX(PlanningItemsList,10))</f>
        <v>Ban Belakang</v>
      </c>
      <c r="C831" s="7"/>
      <c r="D831" s="7"/>
    </row>
    <row r="832" customFormat="false" ht="15" hidden="false" customHeight="false" outlineLevel="0" collapsed="false">
      <c r="A832" s="6" t="str">
        <f aca="false">IF('DATA UNIT'!$B43="","",'DATA UNIT'!$B43)</f>
        <v>DD 8468 UY</v>
      </c>
      <c r="B832" s="6" t="str">
        <f aca="false">IF($A832="","",INDEX(PlanningItemsList,11))</f>
        <v>Ban Serep</v>
      </c>
      <c r="C832" s="7"/>
      <c r="D832" s="7"/>
    </row>
    <row r="833" customFormat="false" ht="15" hidden="false" customHeight="false" outlineLevel="0" collapsed="false">
      <c r="A833" s="6" t="str">
        <f aca="false">IF('DATA UNIT'!$B43="","",'DATA UNIT'!$B43)</f>
        <v>DD 8468 UY</v>
      </c>
      <c r="B833" s="6" t="str">
        <f aca="false">IF($A833="","",INDEX(PlanningItemsList,12))</f>
        <v>Greasing</v>
      </c>
      <c r="C833" s="7"/>
      <c r="D833" s="7"/>
    </row>
    <row r="834" customFormat="false" ht="15" hidden="false" customHeight="false" outlineLevel="0" collapsed="false">
      <c r="A834" s="6" t="str">
        <f aca="false">IF('DATA UNIT'!$B43="","",'DATA UNIT'!$B43)</f>
        <v>DD 8468 UY</v>
      </c>
      <c r="B834" s="6" t="str">
        <f aca="false">IF($A834="","",INDEX(PlanningItemsList,13))</f>
        <v>V-Belt</v>
      </c>
      <c r="C834" s="7"/>
      <c r="D834" s="7"/>
    </row>
    <row r="835" customFormat="false" ht="15" hidden="false" customHeight="false" outlineLevel="0" collapsed="false">
      <c r="A835" s="6" t="str">
        <f aca="false">IF('DATA UNIT'!$B43="","",'DATA UNIT'!$B43)</f>
        <v>DD 8468 UY</v>
      </c>
      <c r="B835" s="6" t="str">
        <f aca="false">IF($A835="","",INDEX(PlanningItemsList,14))</f>
        <v>Sarung Jok</v>
      </c>
      <c r="C835" s="7"/>
      <c r="D835" s="7"/>
    </row>
    <row r="836" customFormat="false" ht="15" hidden="false" customHeight="false" outlineLevel="0" collapsed="false">
      <c r="A836" s="6" t="str">
        <f aca="false">IF('DATA UNIT'!$B43="","",'DATA UNIT'!$B43)</f>
        <v>DD 8468 UY</v>
      </c>
      <c r="B836" s="6" t="str">
        <f aca="false">IF($A836="","",INDEX(PlanningItemsList,15))</f>
        <v>Karpet Karet</v>
      </c>
      <c r="C836" s="7"/>
      <c r="D836" s="7"/>
    </row>
    <row r="837" customFormat="false" ht="15" hidden="false" customHeight="false" outlineLevel="0" collapsed="false">
      <c r="A837" s="6" t="str">
        <f aca="false">IF('DATA UNIT'!$B43="","",'DATA UNIT'!$B43)</f>
        <v>DD 8468 UY</v>
      </c>
      <c r="B837" s="6" t="str">
        <f aca="false">IF($A837="","",INDEX(PlanningItemsList,16))</f>
        <v>Karpet Dasar</v>
      </c>
      <c r="C837" s="7"/>
      <c r="D837" s="7"/>
    </row>
    <row r="838" customFormat="false" ht="15" hidden="false" customHeight="false" outlineLevel="0" collapsed="false">
      <c r="A838" s="6" t="str">
        <f aca="false">IF('DATA UNIT'!$B43="","",'DATA UNIT'!$B43)</f>
        <v>DD 8468 UY</v>
      </c>
      <c r="B838" s="6" t="str">
        <f aca="false">IF($A838="","",INDEX(PlanningItemsList,17))</f>
        <v>Flushing Radiator</v>
      </c>
      <c r="C838" s="7"/>
      <c r="D838" s="7"/>
    </row>
    <row r="839" customFormat="false" ht="15" hidden="false" customHeight="false" outlineLevel="0" collapsed="false">
      <c r="A839" s="6" t="str">
        <f aca="false">IF('DATA UNIT'!$B43="","",'DATA UNIT'!$B43)</f>
        <v>DD 8468 UY</v>
      </c>
      <c r="B839" s="6" t="str">
        <f aca="false">IF($A839="","",INDEX(PlanningItemsList,18))</f>
        <v>Flushing Steering</v>
      </c>
      <c r="C839" s="7"/>
      <c r="D839" s="7"/>
    </row>
    <row r="840" customFormat="false" ht="15" hidden="false" customHeight="false" outlineLevel="0" collapsed="false">
      <c r="A840" s="6" t="str">
        <f aca="false">IF('DATA UNIT'!$B43="","",'DATA UNIT'!$B43)</f>
        <v>DD 8468 UY</v>
      </c>
      <c r="B840" s="6" t="str">
        <f aca="false">IF($A840="","",INDEX(PlanningItemsList,19))</f>
        <v>Flushing Injector</v>
      </c>
      <c r="C840" s="7"/>
      <c r="D840" s="7"/>
    </row>
    <row r="841" customFormat="false" ht="15" hidden="false" customHeight="false" outlineLevel="0" collapsed="false">
      <c r="A841" s="6" t="str">
        <f aca="false">IF('DATA UNIT'!$B43="","",'DATA UNIT'!$B43)</f>
        <v>DD 8468 UY</v>
      </c>
      <c r="B841" s="6" t="str">
        <f aca="false">IF($A841="","",INDEX(PlanningItemsList,20))</f>
        <v>Flushing Rem</v>
      </c>
      <c r="C841" s="7"/>
      <c r="D841" s="7"/>
    </row>
    <row r="842" customFormat="false" ht="15" hidden="false" customHeight="false" outlineLevel="0" collapsed="false">
      <c r="A842" s="6" t="str">
        <f aca="false">IF('DATA UNIT'!$B44="","",'DATA UNIT'!$B44)</f>
        <v>DD 8467 UY</v>
      </c>
      <c r="B842" s="6" t="str">
        <f aca="false">IF($A842="","",INDEX(PlanningItemsList,1))</f>
        <v>PM Check / Reguler Services</v>
      </c>
      <c r="C842" s="7"/>
      <c r="D842" s="7"/>
    </row>
    <row r="843" customFormat="false" ht="15" hidden="false" customHeight="false" outlineLevel="0" collapsed="false">
      <c r="A843" s="6" t="str">
        <f aca="false">IF('DATA UNIT'!$B44="","",'DATA UNIT'!$B44)</f>
        <v>DD 8467 UY</v>
      </c>
      <c r="B843" s="6" t="str">
        <f aca="false">IF($A843="","",INDEX(PlanningItemsList,2))</f>
        <v>Service A</v>
      </c>
      <c r="C843" s="7"/>
      <c r="D843" s="7"/>
    </row>
    <row r="844" customFormat="false" ht="15" hidden="false" customHeight="false" outlineLevel="0" collapsed="false">
      <c r="A844" s="6" t="str">
        <f aca="false">IF('DATA UNIT'!$B44="","",'DATA UNIT'!$B44)</f>
        <v>DD 8467 UY</v>
      </c>
      <c r="B844" s="6" t="str">
        <f aca="false">IF($A844="","",INDEX(PlanningItemsList,3))</f>
        <v>Service B</v>
      </c>
      <c r="C844" s="7"/>
      <c r="D844" s="7"/>
    </row>
    <row r="845" customFormat="false" ht="15" hidden="false" customHeight="false" outlineLevel="0" collapsed="false">
      <c r="A845" s="6" t="str">
        <f aca="false">IF('DATA UNIT'!$B44="","",'DATA UNIT'!$B44)</f>
        <v>DD 8467 UY</v>
      </c>
      <c r="B845" s="6" t="str">
        <f aca="false">IF($A845="","",INDEX(PlanningItemsList,4))</f>
        <v>Brake Pad</v>
      </c>
      <c r="C845" s="7"/>
      <c r="D845" s="7"/>
    </row>
    <row r="846" customFormat="false" ht="15" hidden="false" customHeight="false" outlineLevel="0" collapsed="false">
      <c r="A846" s="6" t="str">
        <f aca="false">IF('DATA UNIT'!$B44="","",'DATA UNIT'!$B44)</f>
        <v>DD 8467 UY</v>
      </c>
      <c r="B846" s="6" t="str">
        <f aca="false">IF($A846="","",INDEX(PlanningItemsList,5))</f>
        <v>Brake Shoe</v>
      </c>
      <c r="C846" s="7"/>
      <c r="D846" s="7"/>
    </row>
    <row r="847" customFormat="false" ht="15" hidden="false" customHeight="false" outlineLevel="0" collapsed="false">
      <c r="A847" s="6" t="str">
        <f aca="false">IF('DATA UNIT'!$B44="","",'DATA UNIT'!$B44)</f>
        <v>DD 8467 UY</v>
      </c>
      <c r="B847" s="6" t="str">
        <f aca="false">IF($A847="","",INDEX(PlanningItemsList,6))</f>
        <v>Accu</v>
      </c>
      <c r="C847" s="7"/>
      <c r="D847" s="7"/>
    </row>
    <row r="848" customFormat="false" ht="15" hidden="false" customHeight="false" outlineLevel="0" collapsed="false">
      <c r="A848" s="6" t="str">
        <f aca="false">IF('DATA UNIT'!$B44="","",'DATA UNIT'!$B44)</f>
        <v>DD 8467 UY</v>
      </c>
      <c r="B848" s="6" t="str">
        <f aca="false">IF($A848="","",INDEX(PlanningItemsList,7))</f>
        <v>Kampas Kopling Set</v>
      </c>
      <c r="C848" s="7"/>
      <c r="D848" s="7"/>
    </row>
    <row r="849" customFormat="false" ht="15" hidden="false" customHeight="false" outlineLevel="0" collapsed="false">
      <c r="A849" s="6" t="str">
        <f aca="false">IF('DATA UNIT'!$B44="","",'DATA UNIT'!$B44)</f>
        <v>DD 8467 UY</v>
      </c>
      <c r="B849" s="6" t="str">
        <f aca="false">IF($A849="","",INDEX(PlanningItemsList,8))</f>
        <v>Wiper Blade</v>
      </c>
      <c r="C849" s="7"/>
      <c r="D849" s="7"/>
    </row>
    <row r="850" customFormat="false" ht="15" hidden="false" customHeight="false" outlineLevel="0" collapsed="false">
      <c r="A850" s="6" t="str">
        <f aca="false">IF('DATA UNIT'!$B44="","",'DATA UNIT'!$B44)</f>
        <v>DD 8467 UY</v>
      </c>
      <c r="B850" s="6" t="str">
        <f aca="false">IF($A850="","",INDEX(PlanningItemsList,9))</f>
        <v>Ban Depan</v>
      </c>
      <c r="C850" s="7"/>
      <c r="D850" s="7"/>
    </row>
    <row r="851" customFormat="false" ht="15" hidden="false" customHeight="false" outlineLevel="0" collapsed="false">
      <c r="A851" s="6" t="str">
        <f aca="false">IF('DATA UNIT'!$B44="","",'DATA UNIT'!$B44)</f>
        <v>DD 8467 UY</v>
      </c>
      <c r="B851" s="6" t="str">
        <f aca="false">IF($A851="","",INDEX(PlanningItemsList,10))</f>
        <v>Ban Belakang</v>
      </c>
      <c r="C851" s="7"/>
      <c r="D851" s="7"/>
    </row>
    <row r="852" customFormat="false" ht="15" hidden="false" customHeight="false" outlineLevel="0" collapsed="false">
      <c r="A852" s="6" t="str">
        <f aca="false">IF('DATA UNIT'!$B44="","",'DATA UNIT'!$B44)</f>
        <v>DD 8467 UY</v>
      </c>
      <c r="B852" s="6" t="str">
        <f aca="false">IF($A852="","",INDEX(PlanningItemsList,11))</f>
        <v>Ban Serep</v>
      </c>
      <c r="C852" s="7"/>
      <c r="D852" s="7"/>
    </row>
    <row r="853" customFormat="false" ht="15" hidden="false" customHeight="false" outlineLevel="0" collapsed="false">
      <c r="A853" s="6" t="str">
        <f aca="false">IF('DATA UNIT'!$B44="","",'DATA UNIT'!$B44)</f>
        <v>DD 8467 UY</v>
      </c>
      <c r="B853" s="6" t="str">
        <f aca="false">IF($A853="","",INDEX(PlanningItemsList,12))</f>
        <v>Greasing</v>
      </c>
      <c r="C853" s="7"/>
      <c r="D853" s="7"/>
    </row>
    <row r="854" customFormat="false" ht="15" hidden="false" customHeight="false" outlineLevel="0" collapsed="false">
      <c r="A854" s="6" t="str">
        <f aca="false">IF('DATA UNIT'!$B44="","",'DATA UNIT'!$B44)</f>
        <v>DD 8467 UY</v>
      </c>
      <c r="B854" s="6" t="str">
        <f aca="false">IF($A854="","",INDEX(PlanningItemsList,13))</f>
        <v>V-Belt</v>
      </c>
      <c r="C854" s="7"/>
      <c r="D854" s="7"/>
    </row>
    <row r="855" customFormat="false" ht="15" hidden="false" customHeight="false" outlineLevel="0" collapsed="false">
      <c r="A855" s="6" t="str">
        <f aca="false">IF('DATA UNIT'!$B44="","",'DATA UNIT'!$B44)</f>
        <v>DD 8467 UY</v>
      </c>
      <c r="B855" s="6" t="str">
        <f aca="false">IF($A855="","",INDEX(PlanningItemsList,14))</f>
        <v>Sarung Jok</v>
      </c>
      <c r="C855" s="7"/>
      <c r="D855" s="7"/>
    </row>
    <row r="856" customFormat="false" ht="15" hidden="false" customHeight="false" outlineLevel="0" collapsed="false">
      <c r="A856" s="6" t="str">
        <f aca="false">IF('DATA UNIT'!$B44="","",'DATA UNIT'!$B44)</f>
        <v>DD 8467 UY</v>
      </c>
      <c r="B856" s="6" t="str">
        <f aca="false">IF($A856="","",INDEX(PlanningItemsList,15))</f>
        <v>Karpet Karet</v>
      </c>
      <c r="C856" s="7"/>
      <c r="D856" s="7"/>
    </row>
    <row r="857" customFormat="false" ht="15" hidden="false" customHeight="false" outlineLevel="0" collapsed="false">
      <c r="A857" s="6" t="str">
        <f aca="false">IF('DATA UNIT'!$B44="","",'DATA UNIT'!$B44)</f>
        <v>DD 8467 UY</v>
      </c>
      <c r="B857" s="6" t="str">
        <f aca="false">IF($A857="","",INDEX(PlanningItemsList,16))</f>
        <v>Karpet Dasar</v>
      </c>
      <c r="C857" s="7"/>
      <c r="D857" s="7"/>
    </row>
    <row r="858" customFormat="false" ht="15" hidden="false" customHeight="false" outlineLevel="0" collapsed="false">
      <c r="A858" s="6" t="str">
        <f aca="false">IF('DATA UNIT'!$B44="","",'DATA UNIT'!$B44)</f>
        <v>DD 8467 UY</v>
      </c>
      <c r="B858" s="6" t="str">
        <f aca="false">IF($A858="","",INDEX(PlanningItemsList,17))</f>
        <v>Flushing Radiator</v>
      </c>
      <c r="C858" s="7"/>
      <c r="D858" s="7"/>
    </row>
    <row r="859" customFormat="false" ht="15" hidden="false" customHeight="false" outlineLevel="0" collapsed="false">
      <c r="A859" s="6" t="str">
        <f aca="false">IF('DATA UNIT'!$B44="","",'DATA UNIT'!$B44)</f>
        <v>DD 8467 UY</v>
      </c>
      <c r="B859" s="6" t="str">
        <f aca="false">IF($A859="","",INDEX(PlanningItemsList,18))</f>
        <v>Flushing Steering</v>
      </c>
      <c r="C859" s="7"/>
      <c r="D859" s="7"/>
    </row>
    <row r="860" customFormat="false" ht="15" hidden="false" customHeight="false" outlineLevel="0" collapsed="false">
      <c r="A860" s="6" t="str">
        <f aca="false">IF('DATA UNIT'!$B44="","",'DATA UNIT'!$B44)</f>
        <v>DD 8467 UY</v>
      </c>
      <c r="B860" s="6" t="str">
        <f aca="false">IF($A860="","",INDEX(PlanningItemsList,19))</f>
        <v>Flushing Injector</v>
      </c>
      <c r="C860" s="7"/>
      <c r="D860" s="7"/>
    </row>
    <row r="861" customFormat="false" ht="15" hidden="false" customHeight="false" outlineLevel="0" collapsed="false">
      <c r="A861" s="6" t="str">
        <f aca="false">IF('DATA UNIT'!$B44="","",'DATA UNIT'!$B44)</f>
        <v>DD 8467 UY</v>
      </c>
      <c r="B861" s="6" t="str">
        <f aca="false">IF($A861="","",INDEX(PlanningItemsList,20))</f>
        <v>Flushing Rem</v>
      </c>
      <c r="C861" s="7"/>
      <c r="D861" s="7"/>
    </row>
    <row r="862" customFormat="false" ht="15" hidden="false" customHeight="false" outlineLevel="0" collapsed="false">
      <c r="A862" s="6" t="str">
        <f aca="false">IF('DATA UNIT'!$B45="","",'DATA UNIT'!$B45)</f>
        <v>KT 8471 ZH</v>
      </c>
      <c r="B862" s="6" t="str">
        <f aca="false">IF($A862="","",INDEX(PlanningItemsList,1))</f>
        <v>PM Check / Reguler Services</v>
      </c>
      <c r="C862" s="7"/>
      <c r="D862" s="7"/>
    </row>
    <row r="863" customFormat="false" ht="15" hidden="false" customHeight="false" outlineLevel="0" collapsed="false">
      <c r="A863" s="6" t="str">
        <f aca="false">IF('DATA UNIT'!$B45="","",'DATA UNIT'!$B45)</f>
        <v>KT 8471 ZH</v>
      </c>
      <c r="B863" s="6" t="str">
        <f aca="false">IF($A863="","",INDEX(PlanningItemsList,2))</f>
        <v>Service A</v>
      </c>
      <c r="C863" s="7"/>
      <c r="D863" s="7"/>
    </row>
    <row r="864" customFormat="false" ht="15" hidden="false" customHeight="false" outlineLevel="0" collapsed="false">
      <c r="A864" s="6" t="str">
        <f aca="false">IF('DATA UNIT'!$B45="","",'DATA UNIT'!$B45)</f>
        <v>KT 8471 ZH</v>
      </c>
      <c r="B864" s="6" t="str">
        <f aca="false">IF($A864="","",INDEX(PlanningItemsList,3))</f>
        <v>Service B</v>
      </c>
      <c r="C864" s="7"/>
      <c r="D864" s="7"/>
    </row>
    <row r="865" customFormat="false" ht="15" hidden="false" customHeight="false" outlineLevel="0" collapsed="false">
      <c r="A865" s="6" t="str">
        <f aca="false">IF('DATA UNIT'!$B45="","",'DATA UNIT'!$B45)</f>
        <v>KT 8471 ZH</v>
      </c>
      <c r="B865" s="6" t="str">
        <f aca="false">IF($A865="","",INDEX(PlanningItemsList,4))</f>
        <v>Brake Pad</v>
      </c>
      <c r="C865" s="7"/>
      <c r="D865" s="7"/>
    </row>
    <row r="866" customFormat="false" ht="15" hidden="false" customHeight="false" outlineLevel="0" collapsed="false">
      <c r="A866" s="6" t="str">
        <f aca="false">IF('DATA UNIT'!$B45="","",'DATA UNIT'!$B45)</f>
        <v>KT 8471 ZH</v>
      </c>
      <c r="B866" s="6" t="str">
        <f aca="false">IF($A866="","",INDEX(PlanningItemsList,5))</f>
        <v>Brake Shoe</v>
      </c>
      <c r="C866" s="7"/>
      <c r="D866" s="7"/>
    </row>
    <row r="867" customFormat="false" ht="15" hidden="false" customHeight="false" outlineLevel="0" collapsed="false">
      <c r="A867" s="6" t="str">
        <f aca="false">IF('DATA UNIT'!$B45="","",'DATA UNIT'!$B45)</f>
        <v>KT 8471 ZH</v>
      </c>
      <c r="B867" s="6" t="str">
        <f aca="false">IF($A867="","",INDEX(PlanningItemsList,6))</f>
        <v>Accu</v>
      </c>
      <c r="C867" s="7"/>
      <c r="D867" s="7"/>
    </row>
    <row r="868" customFormat="false" ht="15" hidden="false" customHeight="false" outlineLevel="0" collapsed="false">
      <c r="A868" s="6" t="str">
        <f aca="false">IF('DATA UNIT'!$B45="","",'DATA UNIT'!$B45)</f>
        <v>KT 8471 ZH</v>
      </c>
      <c r="B868" s="6" t="str">
        <f aca="false">IF($A868="","",INDEX(PlanningItemsList,7))</f>
        <v>Kampas Kopling Set</v>
      </c>
      <c r="C868" s="7"/>
      <c r="D868" s="7"/>
    </row>
    <row r="869" customFormat="false" ht="15" hidden="false" customHeight="false" outlineLevel="0" collapsed="false">
      <c r="A869" s="6" t="str">
        <f aca="false">IF('DATA UNIT'!$B45="","",'DATA UNIT'!$B45)</f>
        <v>KT 8471 ZH</v>
      </c>
      <c r="B869" s="6" t="str">
        <f aca="false">IF($A869="","",INDEX(PlanningItemsList,8))</f>
        <v>Wiper Blade</v>
      </c>
      <c r="C869" s="7"/>
      <c r="D869" s="7"/>
    </row>
    <row r="870" customFormat="false" ht="15" hidden="false" customHeight="false" outlineLevel="0" collapsed="false">
      <c r="A870" s="6" t="str">
        <f aca="false">IF('DATA UNIT'!$B45="","",'DATA UNIT'!$B45)</f>
        <v>KT 8471 ZH</v>
      </c>
      <c r="B870" s="6" t="str">
        <f aca="false">IF($A870="","",INDEX(PlanningItemsList,9))</f>
        <v>Ban Depan</v>
      </c>
      <c r="C870" s="7"/>
      <c r="D870" s="7"/>
    </row>
    <row r="871" customFormat="false" ht="15" hidden="false" customHeight="false" outlineLevel="0" collapsed="false">
      <c r="A871" s="6" t="str">
        <f aca="false">IF('DATA UNIT'!$B45="","",'DATA UNIT'!$B45)</f>
        <v>KT 8471 ZH</v>
      </c>
      <c r="B871" s="6" t="str">
        <f aca="false">IF($A871="","",INDEX(PlanningItemsList,10))</f>
        <v>Ban Belakang</v>
      </c>
      <c r="C871" s="7"/>
      <c r="D871" s="7"/>
    </row>
    <row r="872" customFormat="false" ht="15" hidden="false" customHeight="false" outlineLevel="0" collapsed="false">
      <c r="A872" s="6" t="str">
        <f aca="false">IF('DATA UNIT'!$B45="","",'DATA UNIT'!$B45)</f>
        <v>KT 8471 ZH</v>
      </c>
      <c r="B872" s="6" t="str">
        <f aca="false">IF($A872="","",INDEX(PlanningItemsList,11))</f>
        <v>Ban Serep</v>
      </c>
      <c r="C872" s="7"/>
      <c r="D872" s="7"/>
    </row>
    <row r="873" customFormat="false" ht="15" hidden="false" customHeight="false" outlineLevel="0" collapsed="false">
      <c r="A873" s="6" t="str">
        <f aca="false">IF('DATA UNIT'!$B45="","",'DATA UNIT'!$B45)</f>
        <v>KT 8471 ZH</v>
      </c>
      <c r="B873" s="6" t="str">
        <f aca="false">IF($A873="","",INDEX(PlanningItemsList,12))</f>
        <v>Greasing</v>
      </c>
      <c r="C873" s="7"/>
      <c r="D873" s="7"/>
    </row>
    <row r="874" customFormat="false" ht="15" hidden="false" customHeight="false" outlineLevel="0" collapsed="false">
      <c r="A874" s="6" t="str">
        <f aca="false">IF('DATA UNIT'!$B45="","",'DATA UNIT'!$B45)</f>
        <v>KT 8471 ZH</v>
      </c>
      <c r="B874" s="6" t="str">
        <f aca="false">IF($A874="","",INDEX(PlanningItemsList,13))</f>
        <v>V-Belt</v>
      </c>
      <c r="C874" s="7"/>
      <c r="D874" s="7"/>
    </row>
    <row r="875" customFormat="false" ht="15" hidden="false" customHeight="false" outlineLevel="0" collapsed="false">
      <c r="A875" s="6" t="str">
        <f aca="false">IF('DATA UNIT'!$B45="","",'DATA UNIT'!$B45)</f>
        <v>KT 8471 ZH</v>
      </c>
      <c r="B875" s="6" t="str">
        <f aca="false">IF($A875="","",INDEX(PlanningItemsList,14))</f>
        <v>Sarung Jok</v>
      </c>
      <c r="C875" s="7"/>
      <c r="D875" s="7"/>
    </row>
    <row r="876" customFormat="false" ht="15" hidden="false" customHeight="false" outlineLevel="0" collapsed="false">
      <c r="A876" s="6" t="str">
        <f aca="false">IF('DATA UNIT'!$B45="","",'DATA UNIT'!$B45)</f>
        <v>KT 8471 ZH</v>
      </c>
      <c r="B876" s="6" t="str">
        <f aca="false">IF($A876="","",INDEX(PlanningItemsList,15))</f>
        <v>Karpet Karet</v>
      </c>
      <c r="C876" s="7"/>
      <c r="D876" s="7"/>
    </row>
    <row r="877" customFormat="false" ht="15" hidden="false" customHeight="false" outlineLevel="0" collapsed="false">
      <c r="A877" s="6" t="str">
        <f aca="false">IF('DATA UNIT'!$B45="","",'DATA UNIT'!$B45)</f>
        <v>KT 8471 ZH</v>
      </c>
      <c r="B877" s="6" t="str">
        <f aca="false">IF($A877="","",INDEX(PlanningItemsList,16))</f>
        <v>Karpet Dasar</v>
      </c>
      <c r="C877" s="7"/>
      <c r="D877" s="7"/>
    </row>
    <row r="878" customFormat="false" ht="15" hidden="false" customHeight="false" outlineLevel="0" collapsed="false">
      <c r="A878" s="6" t="str">
        <f aca="false">IF('DATA UNIT'!$B45="","",'DATA UNIT'!$B45)</f>
        <v>KT 8471 ZH</v>
      </c>
      <c r="B878" s="6" t="str">
        <f aca="false">IF($A878="","",INDEX(PlanningItemsList,17))</f>
        <v>Flushing Radiator</v>
      </c>
      <c r="C878" s="7"/>
      <c r="D878" s="7"/>
    </row>
    <row r="879" customFormat="false" ht="15" hidden="false" customHeight="false" outlineLevel="0" collapsed="false">
      <c r="A879" s="6" t="str">
        <f aca="false">IF('DATA UNIT'!$B45="","",'DATA UNIT'!$B45)</f>
        <v>KT 8471 ZH</v>
      </c>
      <c r="B879" s="6" t="str">
        <f aca="false">IF($A879="","",INDEX(PlanningItemsList,18))</f>
        <v>Flushing Steering</v>
      </c>
      <c r="C879" s="7"/>
      <c r="D879" s="7"/>
    </row>
    <row r="880" customFormat="false" ht="15" hidden="false" customHeight="false" outlineLevel="0" collapsed="false">
      <c r="A880" s="6" t="str">
        <f aca="false">IF('DATA UNIT'!$B45="","",'DATA UNIT'!$B45)</f>
        <v>KT 8471 ZH</v>
      </c>
      <c r="B880" s="6" t="str">
        <f aca="false">IF($A880="","",INDEX(PlanningItemsList,19))</f>
        <v>Flushing Injector</v>
      </c>
      <c r="C880" s="7"/>
      <c r="D880" s="7"/>
    </row>
    <row r="881" customFormat="false" ht="15" hidden="false" customHeight="false" outlineLevel="0" collapsed="false">
      <c r="A881" s="6" t="str">
        <f aca="false">IF('DATA UNIT'!$B45="","",'DATA UNIT'!$B45)</f>
        <v>KT 8471 ZH</v>
      </c>
      <c r="B881" s="6" t="str">
        <f aca="false">IF($A881="","",INDEX(PlanningItemsList,20))</f>
        <v>Flushing Rem</v>
      </c>
      <c r="C881" s="7"/>
      <c r="D881" s="7"/>
    </row>
    <row r="882" customFormat="false" ht="15" hidden="false" customHeight="false" outlineLevel="0" collapsed="false">
      <c r="A882" s="6" t="str">
        <f aca="false">IF('DATA UNIT'!$B46="","",'DATA UNIT'!$B46)</f>
        <v>KT 8306 ZH</v>
      </c>
      <c r="B882" s="6" t="str">
        <f aca="false">IF($A882="","",INDEX(PlanningItemsList,1))</f>
        <v>PM Check / Reguler Services</v>
      </c>
      <c r="C882" s="7"/>
      <c r="D882" s="7"/>
    </row>
    <row r="883" customFormat="false" ht="15" hidden="false" customHeight="false" outlineLevel="0" collapsed="false">
      <c r="A883" s="6" t="str">
        <f aca="false">IF('DATA UNIT'!$B46="","",'DATA UNIT'!$B46)</f>
        <v>KT 8306 ZH</v>
      </c>
      <c r="B883" s="6" t="str">
        <f aca="false">IF($A883="","",INDEX(PlanningItemsList,2))</f>
        <v>Service A</v>
      </c>
      <c r="C883" s="7"/>
      <c r="D883" s="7"/>
    </row>
    <row r="884" customFormat="false" ht="15" hidden="false" customHeight="false" outlineLevel="0" collapsed="false">
      <c r="A884" s="6" t="str">
        <f aca="false">IF('DATA UNIT'!$B46="","",'DATA UNIT'!$B46)</f>
        <v>KT 8306 ZH</v>
      </c>
      <c r="B884" s="6" t="str">
        <f aca="false">IF($A884="","",INDEX(PlanningItemsList,3))</f>
        <v>Service B</v>
      </c>
      <c r="C884" s="7"/>
      <c r="D884" s="7"/>
    </row>
    <row r="885" customFormat="false" ht="15" hidden="false" customHeight="false" outlineLevel="0" collapsed="false">
      <c r="A885" s="6" t="str">
        <f aca="false">IF('DATA UNIT'!$B46="","",'DATA UNIT'!$B46)</f>
        <v>KT 8306 ZH</v>
      </c>
      <c r="B885" s="6" t="str">
        <f aca="false">IF($A885="","",INDEX(PlanningItemsList,4))</f>
        <v>Brake Pad</v>
      </c>
      <c r="C885" s="7"/>
      <c r="D885" s="7"/>
    </row>
    <row r="886" customFormat="false" ht="15" hidden="false" customHeight="false" outlineLevel="0" collapsed="false">
      <c r="A886" s="6" t="str">
        <f aca="false">IF('DATA UNIT'!$B46="","",'DATA UNIT'!$B46)</f>
        <v>KT 8306 ZH</v>
      </c>
      <c r="B886" s="6" t="str">
        <f aca="false">IF($A886="","",INDEX(PlanningItemsList,5))</f>
        <v>Brake Shoe</v>
      </c>
      <c r="C886" s="7"/>
      <c r="D886" s="7"/>
    </row>
    <row r="887" customFormat="false" ht="15" hidden="false" customHeight="false" outlineLevel="0" collapsed="false">
      <c r="A887" s="6" t="str">
        <f aca="false">IF('DATA UNIT'!$B46="","",'DATA UNIT'!$B46)</f>
        <v>KT 8306 ZH</v>
      </c>
      <c r="B887" s="6" t="str">
        <f aca="false">IF($A887="","",INDEX(PlanningItemsList,6))</f>
        <v>Accu</v>
      </c>
      <c r="C887" s="7"/>
      <c r="D887" s="7"/>
    </row>
    <row r="888" customFormat="false" ht="15" hidden="false" customHeight="false" outlineLevel="0" collapsed="false">
      <c r="A888" s="6" t="str">
        <f aca="false">IF('DATA UNIT'!$B46="","",'DATA UNIT'!$B46)</f>
        <v>KT 8306 ZH</v>
      </c>
      <c r="B888" s="6" t="str">
        <f aca="false">IF($A888="","",INDEX(PlanningItemsList,7))</f>
        <v>Kampas Kopling Set</v>
      </c>
      <c r="C888" s="7"/>
      <c r="D888" s="7"/>
    </row>
    <row r="889" customFormat="false" ht="15" hidden="false" customHeight="false" outlineLevel="0" collapsed="false">
      <c r="A889" s="6" t="str">
        <f aca="false">IF('DATA UNIT'!$B46="","",'DATA UNIT'!$B46)</f>
        <v>KT 8306 ZH</v>
      </c>
      <c r="B889" s="6" t="str">
        <f aca="false">IF($A889="","",INDEX(PlanningItemsList,8))</f>
        <v>Wiper Blade</v>
      </c>
      <c r="C889" s="7"/>
      <c r="D889" s="7"/>
    </row>
    <row r="890" customFormat="false" ht="15" hidden="false" customHeight="false" outlineLevel="0" collapsed="false">
      <c r="A890" s="6" t="str">
        <f aca="false">IF('DATA UNIT'!$B46="","",'DATA UNIT'!$B46)</f>
        <v>KT 8306 ZH</v>
      </c>
      <c r="B890" s="6" t="str">
        <f aca="false">IF($A890="","",INDEX(PlanningItemsList,9))</f>
        <v>Ban Depan</v>
      </c>
      <c r="C890" s="7"/>
      <c r="D890" s="7"/>
    </row>
    <row r="891" customFormat="false" ht="15" hidden="false" customHeight="false" outlineLevel="0" collapsed="false">
      <c r="A891" s="6" t="str">
        <f aca="false">IF('DATA UNIT'!$B46="","",'DATA UNIT'!$B46)</f>
        <v>KT 8306 ZH</v>
      </c>
      <c r="B891" s="6" t="str">
        <f aca="false">IF($A891="","",INDEX(PlanningItemsList,10))</f>
        <v>Ban Belakang</v>
      </c>
      <c r="C891" s="7"/>
      <c r="D891" s="7"/>
    </row>
    <row r="892" customFormat="false" ht="15" hidden="false" customHeight="false" outlineLevel="0" collapsed="false">
      <c r="A892" s="6" t="str">
        <f aca="false">IF('DATA UNIT'!$B46="","",'DATA UNIT'!$B46)</f>
        <v>KT 8306 ZH</v>
      </c>
      <c r="B892" s="6" t="str">
        <f aca="false">IF($A892="","",INDEX(PlanningItemsList,11))</f>
        <v>Ban Serep</v>
      </c>
      <c r="C892" s="7"/>
      <c r="D892" s="7"/>
    </row>
    <row r="893" customFormat="false" ht="15" hidden="false" customHeight="false" outlineLevel="0" collapsed="false">
      <c r="A893" s="6" t="str">
        <f aca="false">IF('DATA UNIT'!$B46="","",'DATA UNIT'!$B46)</f>
        <v>KT 8306 ZH</v>
      </c>
      <c r="B893" s="6" t="str">
        <f aca="false">IF($A893="","",INDEX(PlanningItemsList,12))</f>
        <v>Greasing</v>
      </c>
      <c r="C893" s="7"/>
      <c r="D893" s="7"/>
    </row>
    <row r="894" customFormat="false" ht="15" hidden="false" customHeight="false" outlineLevel="0" collapsed="false">
      <c r="A894" s="6" t="str">
        <f aca="false">IF('DATA UNIT'!$B46="","",'DATA UNIT'!$B46)</f>
        <v>KT 8306 ZH</v>
      </c>
      <c r="B894" s="6" t="str">
        <f aca="false">IF($A894="","",INDEX(PlanningItemsList,13))</f>
        <v>V-Belt</v>
      </c>
      <c r="C894" s="7"/>
      <c r="D894" s="7"/>
    </row>
    <row r="895" customFormat="false" ht="15" hidden="false" customHeight="false" outlineLevel="0" collapsed="false">
      <c r="A895" s="6" t="str">
        <f aca="false">IF('DATA UNIT'!$B46="","",'DATA UNIT'!$B46)</f>
        <v>KT 8306 ZH</v>
      </c>
      <c r="B895" s="6" t="str">
        <f aca="false">IF($A895="","",INDEX(PlanningItemsList,14))</f>
        <v>Sarung Jok</v>
      </c>
      <c r="C895" s="7"/>
      <c r="D895" s="7"/>
    </row>
    <row r="896" customFormat="false" ht="15" hidden="false" customHeight="false" outlineLevel="0" collapsed="false">
      <c r="A896" s="6" t="str">
        <f aca="false">IF('DATA UNIT'!$B46="","",'DATA UNIT'!$B46)</f>
        <v>KT 8306 ZH</v>
      </c>
      <c r="B896" s="6" t="str">
        <f aca="false">IF($A896="","",INDEX(PlanningItemsList,15))</f>
        <v>Karpet Karet</v>
      </c>
      <c r="C896" s="7"/>
      <c r="D896" s="7"/>
    </row>
    <row r="897" customFormat="false" ht="15" hidden="false" customHeight="false" outlineLevel="0" collapsed="false">
      <c r="A897" s="6" t="str">
        <f aca="false">IF('DATA UNIT'!$B46="","",'DATA UNIT'!$B46)</f>
        <v>KT 8306 ZH</v>
      </c>
      <c r="B897" s="6" t="str">
        <f aca="false">IF($A897="","",INDEX(PlanningItemsList,16))</f>
        <v>Karpet Dasar</v>
      </c>
      <c r="C897" s="7"/>
      <c r="D897" s="7"/>
    </row>
    <row r="898" customFormat="false" ht="15" hidden="false" customHeight="false" outlineLevel="0" collapsed="false">
      <c r="A898" s="6" t="str">
        <f aca="false">IF('DATA UNIT'!$B46="","",'DATA UNIT'!$B46)</f>
        <v>KT 8306 ZH</v>
      </c>
      <c r="B898" s="6" t="str">
        <f aca="false">IF($A898="","",INDEX(PlanningItemsList,17))</f>
        <v>Flushing Radiator</v>
      </c>
      <c r="C898" s="7"/>
      <c r="D898" s="7"/>
    </row>
    <row r="899" customFormat="false" ht="15" hidden="false" customHeight="false" outlineLevel="0" collapsed="false">
      <c r="A899" s="6" t="str">
        <f aca="false">IF('DATA UNIT'!$B46="","",'DATA UNIT'!$B46)</f>
        <v>KT 8306 ZH</v>
      </c>
      <c r="B899" s="6" t="str">
        <f aca="false">IF($A899="","",INDEX(PlanningItemsList,18))</f>
        <v>Flushing Steering</v>
      </c>
      <c r="C899" s="7"/>
      <c r="D899" s="7"/>
    </row>
    <row r="900" customFormat="false" ht="15" hidden="false" customHeight="false" outlineLevel="0" collapsed="false">
      <c r="A900" s="6" t="str">
        <f aca="false">IF('DATA UNIT'!$B46="","",'DATA UNIT'!$B46)</f>
        <v>KT 8306 ZH</v>
      </c>
      <c r="B900" s="6" t="str">
        <f aca="false">IF($A900="","",INDEX(PlanningItemsList,19))</f>
        <v>Flushing Injector</v>
      </c>
      <c r="C900" s="7"/>
      <c r="D900" s="7"/>
    </row>
    <row r="901" customFormat="false" ht="15" hidden="false" customHeight="false" outlineLevel="0" collapsed="false">
      <c r="A901" s="6" t="str">
        <f aca="false">IF('DATA UNIT'!$B46="","",'DATA UNIT'!$B46)</f>
        <v>KT 8306 ZH</v>
      </c>
      <c r="B901" s="6" t="str">
        <f aca="false">IF($A901="","",INDEX(PlanningItemsList,20))</f>
        <v>Flushing Rem</v>
      </c>
      <c r="C901" s="7"/>
      <c r="D901" s="7"/>
    </row>
    <row r="902" customFormat="false" ht="15" hidden="false" customHeight="false" outlineLevel="0" collapsed="false">
      <c r="A902" s="6" t="str">
        <f aca="false">IF('DATA UNIT'!$B47="","",'DATA UNIT'!$B47)</f>
        <v>KT 8307 ZH</v>
      </c>
      <c r="B902" s="6" t="str">
        <f aca="false">IF($A902="","",INDEX(PlanningItemsList,1))</f>
        <v>PM Check / Reguler Services</v>
      </c>
      <c r="C902" s="7"/>
      <c r="D902" s="7"/>
    </row>
    <row r="903" customFormat="false" ht="15" hidden="false" customHeight="false" outlineLevel="0" collapsed="false">
      <c r="A903" s="6" t="str">
        <f aca="false">IF('DATA UNIT'!$B47="","",'DATA UNIT'!$B47)</f>
        <v>KT 8307 ZH</v>
      </c>
      <c r="B903" s="6" t="str">
        <f aca="false">IF($A903="","",INDEX(PlanningItemsList,2))</f>
        <v>Service A</v>
      </c>
      <c r="C903" s="7"/>
      <c r="D903" s="7"/>
    </row>
    <row r="904" customFormat="false" ht="15" hidden="false" customHeight="false" outlineLevel="0" collapsed="false">
      <c r="A904" s="6" t="str">
        <f aca="false">IF('DATA UNIT'!$B47="","",'DATA UNIT'!$B47)</f>
        <v>KT 8307 ZH</v>
      </c>
      <c r="B904" s="6" t="str">
        <f aca="false">IF($A904="","",INDEX(PlanningItemsList,3))</f>
        <v>Service B</v>
      </c>
      <c r="C904" s="7"/>
      <c r="D904" s="7"/>
    </row>
    <row r="905" customFormat="false" ht="15" hidden="false" customHeight="false" outlineLevel="0" collapsed="false">
      <c r="A905" s="6" t="str">
        <f aca="false">IF('DATA UNIT'!$B47="","",'DATA UNIT'!$B47)</f>
        <v>KT 8307 ZH</v>
      </c>
      <c r="B905" s="6" t="str">
        <f aca="false">IF($A905="","",INDEX(PlanningItemsList,4))</f>
        <v>Brake Pad</v>
      </c>
      <c r="C905" s="7"/>
      <c r="D905" s="7"/>
    </row>
    <row r="906" customFormat="false" ht="15" hidden="false" customHeight="false" outlineLevel="0" collapsed="false">
      <c r="A906" s="6" t="str">
        <f aca="false">IF('DATA UNIT'!$B47="","",'DATA UNIT'!$B47)</f>
        <v>KT 8307 ZH</v>
      </c>
      <c r="B906" s="6" t="str">
        <f aca="false">IF($A906="","",INDEX(PlanningItemsList,5))</f>
        <v>Brake Shoe</v>
      </c>
      <c r="C906" s="7"/>
      <c r="D906" s="7"/>
    </row>
    <row r="907" customFormat="false" ht="15" hidden="false" customHeight="false" outlineLevel="0" collapsed="false">
      <c r="A907" s="6" t="str">
        <f aca="false">IF('DATA UNIT'!$B47="","",'DATA UNIT'!$B47)</f>
        <v>KT 8307 ZH</v>
      </c>
      <c r="B907" s="6" t="str">
        <f aca="false">IF($A907="","",INDEX(PlanningItemsList,6))</f>
        <v>Accu</v>
      </c>
      <c r="C907" s="7"/>
      <c r="D907" s="7"/>
    </row>
    <row r="908" customFormat="false" ht="15" hidden="false" customHeight="false" outlineLevel="0" collapsed="false">
      <c r="A908" s="6" t="str">
        <f aca="false">IF('DATA UNIT'!$B47="","",'DATA UNIT'!$B47)</f>
        <v>KT 8307 ZH</v>
      </c>
      <c r="B908" s="6" t="str">
        <f aca="false">IF($A908="","",INDEX(PlanningItemsList,7))</f>
        <v>Kampas Kopling Set</v>
      </c>
      <c r="C908" s="7"/>
      <c r="D908" s="7"/>
    </row>
    <row r="909" customFormat="false" ht="15" hidden="false" customHeight="false" outlineLevel="0" collapsed="false">
      <c r="A909" s="6" t="str">
        <f aca="false">IF('DATA UNIT'!$B47="","",'DATA UNIT'!$B47)</f>
        <v>KT 8307 ZH</v>
      </c>
      <c r="B909" s="6" t="str">
        <f aca="false">IF($A909="","",INDEX(PlanningItemsList,8))</f>
        <v>Wiper Blade</v>
      </c>
      <c r="C909" s="7"/>
      <c r="D909" s="7"/>
    </row>
    <row r="910" customFormat="false" ht="15" hidden="false" customHeight="false" outlineLevel="0" collapsed="false">
      <c r="A910" s="6" t="str">
        <f aca="false">IF('DATA UNIT'!$B47="","",'DATA UNIT'!$B47)</f>
        <v>KT 8307 ZH</v>
      </c>
      <c r="B910" s="6" t="str">
        <f aca="false">IF($A910="","",INDEX(PlanningItemsList,9))</f>
        <v>Ban Depan</v>
      </c>
      <c r="C910" s="7"/>
      <c r="D910" s="7"/>
    </row>
    <row r="911" customFormat="false" ht="15" hidden="false" customHeight="false" outlineLevel="0" collapsed="false">
      <c r="A911" s="6" t="str">
        <f aca="false">IF('DATA UNIT'!$B47="","",'DATA UNIT'!$B47)</f>
        <v>KT 8307 ZH</v>
      </c>
      <c r="B911" s="6" t="str">
        <f aca="false">IF($A911="","",INDEX(PlanningItemsList,10))</f>
        <v>Ban Belakang</v>
      </c>
      <c r="C911" s="7"/>
      <c r="D911" s="7"/>
    </row>
    <row r="912" customFormat="false" ht="15" hidden="false" customHeight="false" outlineLevel="0" collapsed="false">
      <c r="A912" s="6" t="str">
        <f aca="false">IF('DATA UNIT'!$B47="","",'DATA UNIT'!$B47)</f>
        <v>KT 8307 ZH</v>
      </c>
      <c r="B912" s="6" t="str">
        <f aca="false">IF($A912="","",INDEX(PlanningItemsList,11))</f>
        <v>Ban Serep</v>
      </c>
      <c r="C912" s="7"/>
      <c r="D912" s="7"/>
    </row>
    <row r="913" customFormat="false" ht="15" hidden="false" customHeight="false" outlineLevel="0" collapsed="false">
      <c r="A913" s="6" t="str">
        <f aca="false">IF('DATA UNIT'!$B47="","",'DATA UNIT'!$B47)</f>
        <v>KT 8307 ZH</v>
      </c>
      <c r="B913" s="6" t="str">
        <f aca="false">IF($A913="","",INDEX(PlanningItemsList,12))</f>
        <v>Greasing</v>
      </c>
      <c r="C913" s="7"/>
      <c r="D913" s="7"/>
    </row>
    <row r="914" customFormat="false" ht="15" hidden="false" customHeight="false" outlineLevel="0" collapsed="false">
      <c r="A914" s="6" t="str">
        <f aca="false">IF('DATA UNIT'!$B47="","",'DATA UNIT'!$B47)</f>
        <v>KT 8307 ZH</v>
      </c>
      <c r="B914" s="6" t="str">
        <f aca="false">IF($A914="","",INDEX(PlanningItemsList,13))</f>
        <v>V-Belt</v>
      </c>
      <c r="C914" s="7"/>
      <c r="D914" s="7"/>
    </row>
    <row r="915" customFormat="false" ht="15" hidden="false" customHeight="false" outlineLevel="0" collapsed="false">
      <c r="A915" s="6" t="str">
        <f aca="false">IF('DATA UNIT'!$B47="","",'DATA UNIT'!$B47)</f>
        <v>KT 8307 ZH</v>
      </c>
      <c r="B915" s="6" t="str">
        <f aca="false">IF($A915="","",INDEX(PlanningItemsList,14))</f>
        <v>Sarung Jok</v>
      </c>
      <c r="C915" s="7"/>
      <c r="D915" s="7"/>
    </row>
    <row r="916" customFormat="false" ht="15" hidden="false" customHeight="false" outlineLevel="0" collapsed="false">
      <c r="A916" s="6" t="str">
        <f aca="false">IF('DATA UNIT'!$B47="","",'DATA UNIT'!$B47)</f>
        <v>KT 8307 ZH</v>
      </c>
      <c r="B916" s="6" t="str">
        <f aca="false">IF($A916="","",INDEX(PlanningItemsList,15))</f>
        <v>Karpet Karet</v>
      </c>
      <c r="C916" s="7"/>
      <c r="D916" s="7"/>
    </row>
    <row r="917" customFormat="false" ht="15" hidden="false" customHeight="false" outlineLevel="0" collapsed="false">
      <c r="A917" s="6" t="str">
        <f aca="false">IF('DATA UNIT'!$B47="","",'DATA UNIT'!$B47)</f>
        <v>KT 8307 ZH</v>
      </c>
      <c r="B917" s="6" t="str">
        <f aca="false">IF($A917="","",INDEX(PlanningItemsList,16))</f>
        <v>Karpet Dasar</v>
      </c>
      <c r="C917" s="7"/>
      <c r="D917" s="7"/>
    </row>
    <row r="918" customFormat="false" ht="15" hidden="false" customHeight="false" outlineLevel="0" collapsed="false">
      <c r="A918" s="6" t="str">
        <f aca="false">IF('DATA UNIT'!$B47="","",'DATA UNIT'!$B47)</f>
        <v>KT 8307 ZH</v>
      </c>
      <c r="B918" s="6" t="str">
        <f aca="false">IF($A918="","",INDEX(PlanningItemsList,17))</f>
        <v>Flushing Radiator</v>
      </c>
      <c r="C918" s="7"/>
      <c r="D918" s="7"/>
    </row>
    <row r="919" customFormat="false" ht="15" hidden="false" customHeight="false" outlineLevel="0" collapsed="false">
      <c r="A919" s="6" t="str">
        <f aca="false">IF('DATA UNIT'!$B47="","",'DATA UNIT'!$B47)</f>
        <v>KT 8307 ZH</v>
      </c>
      <c r="B919" s="6" t="str">
        <f aca="false">IF($A919="","",INDEX(PlanningItemsList,18))</f>
        <v>Flushing Steering</v>
      </c>
      <c r="C919" s="7"/>
      <c r="D919" s="7"/>
    </row>
    <row r="920" customFormat="false" ht="15" hidden="false" customHeight="false" outlineLevel="0" collapsed="false">
      <c r="A920" s="6" t="str">
        <f aca="false">IF('DATA UNIT'!$B47="","",'DATA UNIT'!$B47)</f>
        <v>KT 8307 ZH</v>
      </c>
      <c r="B920" s="6" t="str">
        <f aca="false">IF($A920="","",INDEX(PlanningItemsList,19))</f>
        <v>Flushing Injector</v>
      </c>
      <c r="C920" s="7"/>
      <c r="D920" s="7"/>
    </row>
    <row r="921" customFormat="false" ht="15" hidden="false" customHeight="false" outlineLevel="0" collapsed="false">
      <c r="A921" s="6" t="str">
        <f aca="false">IF('DATA UNIT'!$B47="","",'DATA UNIT'!$B47)</f>
        <v>KT 8307 ZH</v>
      </c>
      <c r="B921" s="6" t="str">
        <f aca="false">IF($A921="","",INDEX(PlanningItemsList,20))</f>
        <v>Flushing Rem</v>
      </c>
      <c r="C921" s="7"/>
      <c r="D921" s="7"/>
    </row>
    <row r="922" customFormat="false" ht="15" hidden="false" customHeight="false" outlineLevel="0" collapsed="false">
      <c r="A922" s="6" t="str">
        <f aca="false">IF('DATA UNIT'!$B48="","",'DATA UNIT'!$B48)</f>
        <v>KT 8472 ZH</v>
      </c>
      <c r="B922" s="6" t="str">
        <f aca="false">IF($A922="","",INDEX(PlanningItemsList,1))</f>
        <v>PM Check / Reguler Services</v>
      </c>
      <c r="C922" s="7"/>
      <c r="D922" s="7"/>
    </row>
    <row r="923" customFormat="false" ht="15" hidden="false" customHeight="false" outlineLevel="0" collapsed="false">
      <c r="A923" s="6" t="str">
        <f aca="false">IF('DATA UNIT'!$B48="","",'DATA UNIT'!$B48)</f>
        <v>KT 8472 ZH</v>
      </c>
      <c r="B923" s="6" t="str">
        <f aca="false">IF($A923="","",INDEX(PlanningItemsList,2))</f>
        <v>Service A</v>
      </c>
      <c r="C923" s="7"/>
      <c r="D923" s="7"/>
    </row>
    <row r="924" customFormat="false" ht="15" hidden="false" customHeight="false" outlineLevel="0" collapsed="false">
      <c r="A924" s="6" t="str">
        <f aca="false">IF('DATA UNIT'!$B48="","",'DATA UNIT'!$B48)</f>
        <v>KT 8472 ZH</v>
      </c>
      <c r="B924" s="6" t="str">
        <f aca="false">IF($A924="","",INDEX(PlanningItemsList,3))</f>
        <v>Service B</v>
      </c>
      <c r="C924" s="7"/>
      <c r="D924" s="7"/>
    </row>
    <row r="925" customFormat="false" ht="15" hidden="false" customHeight="false" outlineLevel="0" collapsed="false">
      <c r="A925" s="6" t="str">
        <f aca="false">IF('DATA UNIT'!$B48="","",'DATA UNIT'!$B48)</f>
        <v>KT 8472 ZH</v>
      </c>
      <c r="B925" s="6" t="str">
        <f aca="false">IF($A925="","",INDEX(PlanningItemsList,4))</f>
        <v>Brake Pad</v>
      </c>
      <c r="C925" s="7"/>
      <c r="D925" s="7"/>
    </row>
    <row r="926" customFormat="false" ht="15" hidden="false" customHeight="false" outlineLevel="0" collapsed="false">
      <c r="A926" s="6" t="str">
        <f aca="false">IF('DATA UNIT'!$B48="","",'DATA UNIT'!$B48)</f>
        <v>KT 8472 ZH</v>
      </c>
      <c r="B926" s="6" t="str">
        <f aca="false">IF($A926="","",INDEX(PlanningItemsList,5))</f>
        <v>Brake Shoe</v>
      </c>
      <c r="C926" s="7"/>
      <c r="D926" s="7"/>
    </row>
    <row r="927" customFormat="false" ht="15" hidden="false" customHeight="false" outlineLevel="0" collapsed="false">
      <c r="A927" s="6" t="str">
        <f aca="false">IF('DATA UNIT'!$B48="","",'DATA UNIT'!$B48)</f>
        <v>KT 8472 ZH</v>
      </c>
      <c r="B927" s="6" t="str">
        <f aca="false">IF($A927="","",INDEX(PlanningItemsList,6))</f>
        <v>Accu</v>
      </c>
      <c r="C927" s="7"/>
      <c r="D927" s="7"/>
    </row>
    <row r="928" customFormat="false" ht="15" hidden="false" customHeight="false" outlineLevel="0" collapsed="false">
      <c r="A928" s="6" t="str">
        <f aca="false">IF('DATA UNIT'!$B48="","",'DATA UNIT'!$B48)</f>
        <v>KT 8472 ZH</v>
      </c>
      <c r="B928" s="6" t="str">
        <f aca="false">IF($A928="","",INDEX(PlanningItemsList,7))</f>
        <v>Kampas Kopling Set</v>
      </c>
      <c r="C928" s="7"/>
      <c r="D928" s="7"/>
    </row>
    <row r="929" customFormat="false" ht="15" hidden="false" customHeight="false" outlineLevel="0" collapsed="false">
      <c r="A929" s="6" t="str">
        <f aca="false">IF('DATA UNIT'!$B48="","",'DATA UNIT'!$B48)</f>
        <v>KT 8472 ZH</v>
      </c>
      <c r="B929" s="6" t="str">
        <f aca="false">IF($A929="","",INDEX(PlanningItemsList,8))</f>
        <v>Wiper Blade</v>
      </c>
      <c r="C929" s="7"/>
      <c r="D929" s="7"/>
    </row>
    <row r="930" customFormat="false" ht="15" hidden="false" customHeight="false" outlineLevel="0" collapsed="false">
      <c r="A930" s="6" t="str">
        <f aca="false">IF('DATA UNIT'!$B48="","",'DATA UNIT'!$B48)</f>
        <v>KT 8472 ZH</v>
      </c>
      <c r="B930" s="6" t="str">
        <f aca="false">IF($A930="","",INDEX(PlanningItemsList,9))</f>
        <v>Ban Depan</v>
      </c>
      <c r="C930" s="7"/>
      <c r="D930" s="7"/>
    </row>
    <row r="931" customFormat="false" ht="15" hidden="false" customHeight="false" outlineLevel="0" collapsed="false">
      <c r="A931" s="6" t="str">
        <f aca="false">IF('DATA UNIT'!$B48="","",'DATA UNIT'!$B48)</f>
        <v>KT 8472 ZH</v>
      </c>
      <c r="B931" s="6" t="str">
        <f aca="false">IF($A931="","",INDEX(PlanningItemsList,10))</f>
        <v>Ban Belakang</v>
      </c>
      <c r="C931" s="7"/>
      <c r="D931" s="7"/>
    </row>
    <row r="932" customFormat="false" ht="15" hidden="false" customHeight="false" outlineLevel="0" collapsed="false">
      <c r="A932" s="6" t="str">
        <f aca="false">IF('DATA UNIT'!$B48="","",'DATA UNIT'!$B48)</f>
        <v>KT 8472 ZH</v>
      </c>
      <c r="B932" s="6" t="str">
        <f aca="false">IF($A932="","",INDEX(PlanningItemsList,11))</f>
        <v>Ban Serep</v>
      </c>
      <c r="C932" s="7"/>
      <c r="D932" s="7"/>
    </row>
    <row r="933" customFormat="false" ht="15" hidden="false" customHeight="false" outlineLevel="0" collapsed="false">
      <c r="A933" s="6" t="str">
        <f aca="false">IF('DATA UNIT'!$B48="","",'DATA UNIT'!$B48)</f>
        <v>KT 8472 ZH</v>
      </c>
      <c r="B933" s="6" t="str">
        <f aca="false">IF($A933="","",INDEX(PlanningItemsList,12))</f>
        <v>Greasing</v>
      </c>
      <c r="C933" s="7"/>
      <c r="D933" s="7"/>
    </row>
    <row r="934" customFormat="false" ht="15" hidden="false" customHeight="false" outlineLevel="0" collapsed="false">
      <c r="A934" s="6" t="str">
        <f aca="false">IF('DATA UNIT'!$B48="","",'DATA UNIT'!$B48)</f>
        <v>KT 8472 ZH</v>
      </c>
      <c r="B934" s="6" t="str">
        <f aca="false">IF($A934="","",INDEX(PlanningItemsList,13))</f>
        <v>V-Belt</v>
      </c>
      <c r="C934" s="7"/>
      <c r="D934" s="7"/>
    </row>
    <row r="935" customFormat="false" ht="15" hidden="false" customHeight="false" outlineLevel="0" collapsed="false">
      <c r="A935" s="6" t="str">
        <f aca="false">IF('DATA UNIT'!$B48="","",'DATA UNIT'!$B48)</f>
        <v>KT 8472 ZH</v>
      </c>
      <c r="B935" s="6" t="str">
        <f aca="false">IF($A935="","",INDEX(PlanningItemsList,14))</f>
        <v>Sarung Jok</v>
      </c>
      <c r="C935" s="7"/>
      <c r="D935" s="7"/>
    </row>
    <row r="936" customFormat="false" ht="15" hidden="false" customHeight="false" outlineLevel="0" collapsed="false">
      <c r="A936" s="6" t="str">
        <f aca="false">IF('DATA UNIT'!$B48="","",'DATA UNIT'!$B48)</f>
        <v>KT 8472 ZH</v>
      </c>
      <c r="B936" s="6" t="str">
        <f aca="false">IF($A936="","",INDEX(PlanningItemsList,15))</f>
        <v>Karpet Karet</v>
      </c>
      <c r="C936" s="7"/>
      <c r="D936" s="7"/>
    </row>
    <row r="937" customFormat="false" ht="15" hidden="false" customHeight="false" outlineLevel="0" collapsed="false">
      <c r="A937" s="6" t="str">
        <f aca="false">IF('DATA UNIT'!$B48="","",'DATA UNIT'!$B48)</f>
        <v>KT 8472 ZH</v>
      </c>
      <c r="B937" s="6" t="str">
        <f aca="false">IF($A937="","",INDEX(PlanningItemsList,16))</f>
        <v>Karpet Dasar</v>
      </c>
      <c r="C937" s="7"/>
      <c r="D937" s="7"/>
    </row>
    <row r="938" customFormat="false" ht="15" hidden="false" customHeight="false" outlineLevel="0" collapsed="false">
      <c r="A938" s="6" t="str">
        <f aca="false">IF('DATA UNIT'!$B48="","",'DATA UNIT'!$B48)</f>
        <v>KT 8472 ZH</v>
      </c>
      <c r="B938" s="6" t="str">
        <f aca="false">IF($A938="","",INDEX(PlanningItemsList,17))</f>
        <v>Flushing Radiator</v>
      </c>
      <c r="C938" s="7"/>
      <c r="D938" s="7"/>
    </row>
    <row r="939" customFormat="false" ht="15" hidden="false" customHeight="false" outlineLevel="0" collapsed="false">
      <c r="A939" s="6" t="str">
        <f aca="false">IF('DATA UNIT'!$B48="","",'DATA UNIT'!$B48)</f>
        <v>KT 8472 ZH</v>
      </c>
      <c r="B939" s="6" t="str">
        <f aca="false">IF($A939="","",INDEX(PlanningItemsList,18))</f>
        <v>Flushing Steering</v>
      </c>
      <c r="C939" s="7"/>
      <c r="D939" s="7"/>
    </row>
    <row r="940" customFormat="false" ht="15" hidden="false" customHeight="false" outlineLevel="0" collapsed="false">
      <c r="A940" s="6" t="str">
        <f aca="false">IF('DATA UNIT'!$B48="","",'DATA UNIT'!$B48)</f>
        <v>KT 8472 ZH</v>
      </c>
      <c r="B940" s="6" t="str">
        <f aca="false">IF($A940="","",INDEX(PlanningItemsList,19))</f>
        <v>Flushing Injector</v>
      </c>
      <c r="C940" s="7"/>
      <c r="D940" s="7"/>
    </row>
    <row r="941" customFormat="false" ht="15" hidden="false" customHeight="false" outlineLevel="0" collapsed="false">
      <c r="A941" s="6" t="str">
        <f aca="false">IF('DATA UNIT'!$B48="","",'DATA UNIT'!$B48)</f>
        <v>KT 8472 ZH</v>
      </c>
      <c r="B941" s="6" t="str">
        <f aca="false">IF($A941="","",INDEX(PlanningItemsList,20))</f>
        <v>Flushing Rem</v>
      </c>
      <c r="C941" s="7"/>
      <c r="D941" s="7"/>
    </row>
    <row r="942" customFormat="false" ht="15" hidden="false" customHeight="false" outlineLevel="0" collapsed="false">
      <c r="A942" s="6" t="str">
        <f aca="false">IF('DATA UNIT'!$B49="","",'DATA UNIT'!$B49)</f>
        <v>KT 8473 ZH</v>
      </c>
      <c r="B942" s="6" t="str">
        <f aca="false">IF($A942="","",INDEX(PlanningItemsList,1))</f>
        <v>PM Check / Reguler Services</v>
      </c>
      <c r="C942" s="7"/>
      <c r="D942" s="7"/>
    </row>
    <row r="943" customFormat="false" ht="15" hidden="false" customHeight="false" outlineLevel="0" collapsed="false">
      <c r="A943" s="6" t="str">
        <f aca="false">IF('DATA UNIT'!$B49="","",'DATA UNIT'!$B49)</f>
        <v>KT 8473 ZH</v>
      </c>
      <c r="B943" s="6" t="str">
        <f aca="false">IF($A943="","",INDEX(PlanningItemsList,2))</f>
        <v>Service A</v>
      </c>
      <c r="C943" s="7"/>
      <c r="D943" s="7"/>
    </row>
    <row r="944" customFormat="false" ht="15" hidden="false" customHeight="false" outlineLevel="0" collapsed="false">
      <c r="A944" s="6" t="str">
        <f aca="false">IF('DATA UNIT'!$B49="","",'DATA UNIT'!$B49)</f>
        <v>KT 8473 ZH</v>
      </c>
      <c r="B944" s="6" t="str">
        <f aca="false">IF($A944="","",INDEX(PlanningItemsList,3))</f>
        <v>Service B</v>
      </c>
      <c r="C944" s="7"/>
      <c r="D944" s="7"/>
    </row>
    <row r="945" customFormat="false" ht="15" hidden="false" customHeight="false" outlineLevel="0" collapsed="false">
      <c r="A945" s="6" t="str">
        <f aca="false">IF('DATA UNIT'!$B49="","",'DATA UNIT'!$B49)</f>
        <v>KT 8473 ZH</v>
      </c>
      <c r="B945" s="6" t="str">
        <f aca="false">IF($A945="","",INDEX(PlanningItemsList,4))</f>
        <v>Brake Pad</v>
      </c>
      <c r="C945" s="7"/>
      <c r="D945" s="7"/>
    </row>
    <row r="946" customFormat="false" ht="15" hidden="false" customHeight="false" outlineLevel="0" collapsed="false">
      <c r="A946" s="6" t="str">
        <f aca="false">IF('DATA UNIT'!$B49="","",'DATA UNIT'!$B49)</f>
        <v>KT 8473 ZH</v>
      </c>
      <c r="B946" s="6" t="str">
        <f aca="false">IF($A946="","",INDEX(PlanningItemsList,5))</f>
        <v>Brake Shoe</v>
      </c>
      <c r="C946" s="7"/>
      <c r="D946" s="7"/>
    </row>
    <row r="947" customFormat="false" ht="15" hidden="false" customHeight="false" outlineLevel="0" collapsed="false">
      <c r="A947" s="6" t="str">
        <f aca="false">IF('DATA UNIT'!$B49="","",'DATA UNIT'!$B49)</f>
        <v>KT 8473 ZH</v>
      </c>
      <c r="B947" s="6" t="str">
        <f aca="false">IF($A947="","",INDEX(PlanningItemsList,6))</f>
        <v>Accu</v>
      </c>
      <c r="C947" s="7"/>
      <c r="D947" s="7"/>
    </row>
    <row r="948" customFormat="false" ht="15" hidden="false" customHeight="false" outlineLevel="0" collapsed="false">
      <c r="A948" s="6" t="str">
        <f aca="false">IF('DATA UNIT'!$B49="","",'DATA UNIT'!$B49)</f>
        <v>KT 8473 ZH</v>
      </c>
      <c r="B948" s="6" t="str">
        <f aca="false">IF($A948="","",INDEX(PlanningItemsList,7))</f>
        <v>Kampas Kopling Set</v>
      </c>
      <c r="C948" s="7"/>
      <c r="D948" s="7"/>
    </row>
    <row r="949" customFormat="false" ht="15" hidden="false" customHeight="false" outlineLevel="0" collapsed="false">
      <c r="A949" s="6" t="str">
        <f aca="false">IF('DATA UNIT'!$B49="","",'DATA UNIT'!$B49)</f>
        <v>KT 8473 ZH</v>
      </c>
      <c r="B949" s="6" t="str">
        <f aca="false">IF($A949="","",INDEX(PlanningItemsList,8))</f>
        <v>Wiper Blade</v>
      </c>
      <c r="C949" s="7"/>
      <c r="D949" s="7"/>
    </row>
    <row r="950" customFormat="false" ht="15" hidden="false" customHeight="false" outlineLevel="0" collapsed="false">
      <c r="A950" s="6" t="str">
        <f aca="false">IF('DATA UNIT'!$B49="","",'DATA UNIT'!$B49)</f>
        <v>KT 8473 ZH</v>
      </c>
      <c r="B950" s="6" t="str">
        <f aca="false">IF($A950="","",INDEX(PlanningItemsList,9))</f>
        <v>Ban Depan</v>
      </c>
      <c r="C950" s="7"/>
      <c r="D950" s="7"/>
    </row>
    <row r="951" customFormat="false" ht="15" hidden="false" customHeight="false" outlineLevel="0" collapsed="false">
      <c r="A951" s="6" t="str">
        <f aca="false">IF('DATA UNIT'!$B49="","",'DATA UNIT'!$B49)</f>
        <v>KT 8473 ZH</v>
      </c>
      <c r="B951" s="6" t="str">
        <f aca="false">IF($A951="","",INDEX(PlanningItemsList,10))</f>
        <v>Ban Belakang</v>
      </c>
      <c r="C951" s="7"/>
      <c r="D951" s="7"/>
    </row>
    <row r="952" customFormat="false" ht="15" hidden="false" customHeight="false" outlineLevel="0" collapsed="false">
      <c r="A952" s="6" t="str">
        <f aca="false">IF('DATA UNIT'!$B49="","",'DATA UNIT'!$B49)</f>
        <v>KT 8473 ZH</v>
      </c>
      <c r="B952" s="6" t="str">
        <f aca="false">IF($A952="","",INDEX(PlanningItemsList,11))</f>
        <v>Ban Serep</v>
      </c>
      <c r="C952" s="7"/>
      <c r="D952" s="7"/>
    </row>
    <row r="953" customFormat="false" ht="15" hidden="false" customHeight="false" outlineLevel="0" collapsed="false">
      <c r="A953" s="6" t="str">
        <f aca="false">IF('DATA UNIT'!$B49="","",'DATA UNIT'!$B49)</f>
        <v>KT 8473 ZH</v>
      </c>
      <c r="B953" s="6" t="str">
        <f aca="false">IF($A953="","",INDEX(PlanningItemsList,12))</f>
        <v>Greasing</v>
      </c>
      <c r="C953" s="7"/>
      <c r="D953" s="7"/>
    </row>
    <row r="954" customFormat="false" ht="15" hidden="false" customHeight="false" outlineLevel="0" collapsed="false">
      <c r="A954" s="6" t="str">
        <f aca="false">IF('DATA UNIT'!$B49="","",'DATA UNIT'!$B49)</f>
        <v>KT 8473 ZH</v>
      </c>
      <c r="B954" s="6" t="str">
        <f aca="false">IF($A954="","",INDEX(PlanningItemsList,13))</f>
        <v>V-Belt</v>
      </c>
      <c r="C954" s="7"/>
      <c r="D954" s="7"/>
    </row>
    <row r="955" customFormat="false" ht="15" hidden="false" customHeight="false" outlineLevel="0" collapsed="false">
      <c r="A955" s="6" t="str">
        <f aca="false">IF('DATA UNIT'!$B49="","",'DATA UNIT'!$B49)</f>
        <v>KT 8473 ZH</v>
      </c>
      <c r="B955" s="6" t="str">
        <f aca="false">IF($A955="","",INDEX(PlanningItemsList,14))</f>
        <v>Sarung Jok</v>
      </c>
      <c r="C955" s="7"/>
      <c r="D955" s="7"/>
    </row>
    <row r="956" customFormat="false" ht="15" hidden="false" customHeight="false" outlineLevel="0" collapsed="false">
      <c r="A956" s="6" t="str">
        <f aca="false">IF('DATA UNIT'!$B49="","",'DATA UNIT'!$B49)</f>
        <v>KT 8473 ZH</v>
      </c>
      <c r="B956" s="6" t="str">
        <f aca="false">IF($A956="","",INDEX(PlanningItemsList,15))</f>
        <v>Karpet Karet</v>
      </c>
      <c r="C956" s="7"/>
      <c r="D956" s="7"/>
    </row>
    <row r="957" customFormat="false" ht="15" hidden="false" customHeight="false" outlineLevel="0" collapsed="false">
      <c r="A957" s="6" t="str">
        <f aca="false">IF('DATA UNIT'!$B49="","",'DATA UNIT'!$B49)</f>
        <v>KT 8473 ZH</v>
      </c>
      <c r="B957" s="6" t="str">
        <f aca="false">IF($A957="","",INDEX(PlanningItemsList,16))</f>
        <v>Karpet Dasar</v>
      </c>
      <c r="C957" s="7"/>
      <c r="D957" s="7"/>
    </row>
    <row r="958" customFormat="false" ht="15" hidden="false" customHeight="false" outlineLevel="0" collapsed="false">
      <c r="A958" s="6" t="str">
        <f aca="false">IF('DATA UNIT'!$B49="","",'DATA UNIT'!$B49)</f>
        <v>KT 8473 ZH</v>
      </c>
      <c r="B958" s="6" t="str">
        <f aca="false">IF($A958="","",INDEX(PlanningItemsList,17))</f>
        <v>Flushing Radiator</v>
      </c>
      <c r="C958" s="7"/>
      <c r="D958" s="7"/>
    </row>
    <row r="959" customFormat="false" ht="15" hidden="false" customHeight="false" outlineLevel="0" collapsed="false">
      <c r="A959" s="6" t="str">
        <f aca="false">IF('DATA UNIT'!$B49="","",'DATA UNIT'!$B49)</f>
        <v>KT 8473 ZH</v>
      </c>
      <c r="B959" s="6" t="str">
        <f aca="false">IF($A959="","",INDEX(PlanningItemsList,18))</f>
        <v>Flushing Steering</v>
      </c>
      <c r="C959" s="7"/>
      <c r="D959" s="7"/>
    </row>
    <row r="960" customFormat="false" ht="15" hidden="false" customHeight="false" outlineLevel="0" collapsed="false">
      <c r="A960" s="6" t="str">
        <f aca="false">IF('DATA UNIT'!$B49="","",'DATA UNIT'!$B49)</f>
        <v>KT 8473 ZH</v>
      </c>
      <c r="B960" s="6" t="str">
        <f aca="false">IF($A960="","",INDEX(PlanningItemsList,19))</f>
        <v>Flushing Injector</v>
      </c>
      <c r="C960" s="7"/>
      <c r="D960" s="7"/>
    </row>
    <row r="961" customFormat="false" ht="15" hidden="false" customHeight="false" outlineLevel="0" collapsed="false">
      <c r="A961" s="6" t="str">
        <f aca="false">IF('DATA UNIT'!$B49="","",'DATA UNIT'!$B49)</f>
        <v>KT 8473 ZH</v>
      </c>
      <c r="B961" s="6" t="str">
        <f aca="false">IF($A961="","",INDEX(PlanningItemsList,20))</f>
        <v>Flushing Rem</v>
      </c>
      <c r="C961" s="7"/>
      <c r="D961" s="7"/>
    </row>
    <row r="962" customFormat="false" ht="15" hidden="false" customHeight="false" outlineLevel="0" collapsed="false">
      <c r="A962" s="6" t="str">
        <f aca="false">IF('DATA UNIT'!$B50="","",'DATA UNIT'!$B50)</f>
        <v>KT 8834 ZH</v>
      </c>
      <c r="B962" s="6" t="str">
        <f aca="false">IF($A962="","",INDEX(PlanningItemsList,1))</f>
        <v>PM Check / Reguler Services</v>
      </c>
      <c r="C962" s="7"/>
      <c r="D962" s="7"/>
    </row>
    <row r="963" customFormat="false" ht="15" hidden="false" customHeight="false" outlineLevel="0" collapsed="false">
      <c r="A963" s="6" t="str">
        <f aca="false">IF('DATA UNIT'!$B50="","",'DATA UNIT'!$B50)</f>
        <v>KT 8834 ZH</v>
      </c>
      <c r="B963" s="6" t="str">
        <f aca="false">IF($A963="","",INDEX(PlanningItemsList,2))</f>
        <v>Service A</v>
      </c>
      <c r="C963" s="7"/>
      <c r="D963" s="7"/>
    </row>
    <row r="964" customFormat="false" ht="15" hidden="false" customHeight="false" outlineLevel="0" collapsed="false">
      <c r="A964" s="6" t="str">
        <f aca="false">IF('DATA UNIT'!$B50="","",'DATA UNIT'!$B50)</f>
        <v>KT 8834 ZH</v>
      </c>
      <c r="B964" s="6" t="str">
        <f aca="false">IF($A964="","",INDEX(PlanningItemsList,3))</f>
        <v>Service B</v>
      </c>
      <c r="C964" s="7"/>
      <c r="D964" s="7"/>
    </row>
    <row r="965" customFormat="false" ht="15" hidden="false" customHeight="false" outlineLevel="0" collapsed="false">
      <c r="A965" s="6" t="str">
        <f aca="false">IF('DATA UNIT'!$B50="","",'DATA UNIT'!$B50)</f>
        <v>KT 8834 ZH</v>
      </c>
      <c r="B965" s="6" t="str">
        <f aca="false">IF($A965="","",INDEX(PlanningItemsList,4))</f>
        <v>Brake Pad</v>
      </c>
      <c r="C965" s="7"/>
      <c r="D965" s="7"/>
    </row>
    <row r="966" customFormat="false" ht="15" hidden="false" customHeight="false" outlineLevel="0" collapsed="false">
      <c r="A966" s="6" t="str">
        <f aca="false">IF('DATA UNIT'!$B50="","",'DATA UNIT'!$B50)</f>
        <v>KT 8834 ZH</v>
      </c>
      <c r="B966" s="6" t="str">
        <f aca="false">IF($A966="","",INDEX(PlanningItemsList,5))</f>
        <v>Brake Shoe</v>
      </c>
      <c r="C966" s="7"/>
      <c r="D966" s="7"/>
    </row>
    <row r="967" customFormat="false" ht="15" hidden="false" customHeight="false" outlineLevel="0" collapsed="false">
      <c r="A967" s="6" t="str">
        <f aca="false">IF('DATA UNIT'!$B50="","",'DATA UNIT'!$B50)</f>
        <v>KT 8834 ZH</v>
      </c>
      <c r="B967" s="6" t="str">
        <f aca="false">IF($A967="","",INDEX(PlanningItemsList,6))</f>
        <v>Accu</v>
      </c>
      <c r="C967" s="7"/>
      <c r="D967" s="7"/>
    </row>
    <row r="968" customFormat="false" ht="15" hidden="false" customHeight="false" outlineLevel="0" collapsed="false">
      <c r="A968" s="6" t="str">
        <f aca="false">IF('DATA UNIT'!$B50="","",'DATA UNIT'!$B50)</f>
        <v>KT 8834 ZH</v>
      </c>
      <c r="B968" s="6" t="str">
        <f aca="false">IF($A968="","",INDEX(PlanningItemsList,7))</f>
        <v>Kampas Kopling Set</v>
      </c>
      <c r="C968" s="7"/>
      <c r="D968" s="7"/>
    </row>
    <row r="969" customFormat="false" ht="15" hidden="false" customHeight="false" outlineLevel="0" collapsed="false">
      <c r="A969" s="6" t="str">
        <f aca="false">IF('DATA UNIT'!$B50="","",'DATA UNIT'!$B50)</f>
        <v>KT 8834 ZH</v>
      </c>
      <c r="B969" s="6" t="str">
        <f aca="false">IF($A969="","",INDEX(PlanningItemsList,8))</f>
        <v>Wiper Blade</v>
      </c>
      <c r="C969" s="7"/>
      <c r="D969" s="7"/>
    </row>
    <row r="970" customFormat="false" ht="15" hidden="false" customHeight="false" outlineLevel="0" collapsed="false">
      <c r="A970" s="6" t="str">
        <f aca="false">IF('DATA UNIT'!$B50="","",'DATA UNIT'!$B50)</f>
        <v>KT 8834 ZH</v>
      </c>
      <c r="B970" s="6" t="str">
        <f aca="false">IF($A970="","",INDEX(PlanningItemsList,9))</f>
        <v>Ban Depan</v>
      </c>
      <c r="C970" s="7"/>
      <c r="D970" s="7"/>
    </row>
    <row r="971" customFormat="false" ht="15" hidden="false" customHeight="false" outlineLevel="0" collapsed="false">
      <c r="A971" s="6" t="str">
        <f aca="false">IF('DATA UNIT'!$B50="","",'DATA UNIT'!$B50)</f>
        <v>KT 8834 ZH</v>
      </c>
      <c r="B971" s="6" t="str">
        <f aca="false">IF($A971="","",INDEX(PlanningItemsList,10))</f>
        <v>Ban Belakang</v>
      </c>
      <c r="C971" s="7"/>
      <c r="D971" s="7"/>
    </row>
    <row r="972" customFormat="false" ht="15" hidden="false" customHeight="false" outlineLevel="0" collapsed="false">
      <c r="A972" s="6" t="str">
        <f aca="false">IF('DATA UNIT'!$B50="","",'DATA UNIT'!$B50)</f>
        <v>KT 8834 ZH</v>
      </c>
      <c r="B972" s="6" t="str">
        <f aca="false">IF($A972="","",INDEX(PlanningItemsList,11))</f>
        <v>Ban Serep</v>
      </c>
      <c r="C972" s="7"/>
      <c r="D972" s="7"/>
    </row>
    <row r="973" customFormat="false" ht="15" hidden="false" customHeight="false" outlineLevel="0" collapsed="false">
      <c r="A973" s="6" t="str">
        <f aca="false">IF('DATA UNIT'!$B50="","",'DATA UNIT'!$B50)</f>
        <v>KT 8834 ZH</v>
      </c>
      <c r="B973" s="6" t="str">
        <f aca="false">IF($A973="","",INDEX(PlanningItemsList,12))</f>
        <v>Greasing</v>
      </c>
      <c r="C973" s="7"/>
      <c r="D973" s="7"/>
    </row>
    <row r="974" customFormat="false" ht="15" hidden="false" customHeight="false" outlineLevel="0" collapsed="false">
      <c r="A974" s="6" t="str">
        <f aca="false">IF('DATA UNIT'!$B50="","",'DATA UNIT'!$B50)</f>
        <v>KT 8834 ZH</v>
      </c>
      <c r="B974" s="6" t="str">
        <f aca="false">IF($A974="","",INDEX(PlanningItemsList,13))</f>
        <v>V-Belt</v>
      </c>
      <c r="C974" s="7"/>
      <c r="D974" s="7"/>
    </row>
    <row r="975" customFormat="false" ht="15" hidden="false" customHeight="false" outlineLevel="0" collapsed="false">
      <c r="A975" s="6" t="str">
        <f aca="false">IF('DATA UNIT'!$B50="","",'DATA UNIT'!$B50)</f>
        <v>KT 8834 ZH</v>
      </c>
      <c r="B975" s="6" t="str">
        <f aca="false">IF($A975="","",INDEX(PlanningItemsList,14))</f>
        <v>Sarung Jok</v>
      </c>
      <c r="C975" s="7"/>
      <c r="D975" s="7"/>
    </row>
    <row r="976" customFormat="false" ht="15" hidden="false" customHeight="false" outlineLevel="0" collapsed="false">
      <c r="A976" s="6" t="str">
        <f aca="false">IF('DATA UNIT'!$B50="","",'DATA UNIT'!$B50)</f>
        <v>KT 8834 ZH</v>
      </c>
      <c r="B976" s="6" t="str">
        <f aca="false">IF($A976="","",INDEX(PlanningItemsList,15))</f>
        <v>Karpet Karet</v>
      </c>
      <c r="C976" s="7"/>
      <c r="D976" s="7"/>
    </row>
    <row r="977" customFormat="false" ht="15" hidden="false" customHeight="false" outlineLevel="0" collapsed="false">
      <c r="A977" s="6" t="str">
        <f aca="false">IF('DATA UNIT'!$B50="","",'DATA UNIT'!$B50)</f>
        <v>KT 8834 ZH</v>
      </c>
      <c r="B977" s="6" t="str">
        <f aca="false">IF($A977="","",INDEX(PlanningItemsList,16))</f>
        <v>Karpet Dasar</v>
      </c>
      <c r="C977" s="7"/>
      <c r="D977" s="7"/>
    </row>
    <row r="978" customFormat="false" ht="15" hidden="false" customHeight="false" outlineLevel="0" collapsed="false">
      <c r="A978" s="6" t="str">
        <f aca="false">IF('DATA UNIT'!$B50="","",'DATA UNIT'!$B50)</f>
        <v>KT 8834 ZH</v>
      </c>
      <c r="B978" s="6" t="str">
        <f aca="false">IF($A978="","",INDEX(PlanningItemsList,17))</f>
        <v>Flushing Radiator</v>
      </c>
      <c r="C978" s="7"/>
      <c r="D978" s="7"/>
    </row>
    <row r="979" customFormat="false" ht="15" hidden="false" customHeight="false" outlineLevel="0" collapsed="false">
      <c r="A979" s="6" t="str">
        <f aca="false">IF('DATA UNIT'!$B50="","",'DATA UNIT'!$B50)</f>
        <v>KT 8834 ZH</v>
      </c>
      <c r="B979" s="6" t="str">
        <f aca="false">IF($A979="","",INDEX(PlanningItemsList,18))</f>
        <v>Flushing Steering</v>
      </c>
      <c r="C979" s="7"/>
      <c r="D979" s="7"/>
    </row>
    <row r="980" customFormat="false" ht="15" hidden="false" customHeight="false" outlineLevel="0" collapsed="false">
      <c r="A980" s="6" t="str">
        <f aca="false">IF('DATA UNIT'!$B50="","",'DATA UNIT'!$B50)</f>
        <v>KT 8834 ZH</v>
      </c>
      <c r="B980" s="6" t="str">
        <f aca="false">IF($A980="","",INDEX(PlanningItemsList,19))</f>
        <v>Flushing Injector</v>
      </c>
      <c r="C980" s="7"/>
      <c r="D980" s="7"/>
    </row>
    <row r="981" customFormat="false" ht="15" hidden="false" customHeight="false" outlineLevel="0" collapsed="false">
      <c r="A981" s="6" t="str">
        <f aca="false">IF('DATA UNIT'!$B50="","",'DATA UNIT'!$B50)</f>
        <v>KT 8834 ZH</v>
      </c>
      <c r="B981" s="6" t="str">
        <f aca="false">IF($A981="","",INDEX(PlanningItemsList,20))</f>
        <v>Flushing Rem</v>
      </c>
      <c r="C981" s="7"/>
      <c r="D981" s="7"/>
    </row>
    <row r="982" customFormat="false" ht="15" hidden="false" customHeight="false" outlineLevel="0" collapsed="false">
      <c r="A982" s="6" t="str">
        <f aca="false">IF('DATA UNIT'!$B51="","",'DATA UNIT'!$B51)</f>
        <v>KT 8832 ZH</v>
      </c>
      <c r="B982" s="6" t="str">
        <f aca="false">IF($A982="","",INDEX(PlanningItemsList,1))</f>
        <v>PM Check / Reguler Services</v>
      </c>
      <c r="C982" s="7"/>
      <c r="D982" s="7"/>
    </row>
    <row r="983" customFormat="false" ht="15" hidden="false" customHeight="false" outlineLevel="0" collapsed="false">
      <c r="A983" s="6" t="str">
        <f aca="false">IF('DATA UNIT'!$B51="","",'DATA UNIT'!$B51)</f>
        <v>KT 8832 ZH</v>
      </c>
      <c r="B983" s="6" t="str">
        <f aca="false">IF($A983="","",INDEX(PlanningItemsList,2))</f>
        <v>Service A</v>
      </c>
      <c r="C983" s="7"/>
      <c r="D983" s="7"/>
    </row>
    <row r="984" customFormat="false" ht="15" hidden="false" customHeight="false" outlineLevel="0" collapsed="false">
      <c r="A984" s="6" t="str">
        <f aca="false">IF('DATA UNIT'!$B51="","",'DATA UNIT'!$B51)</f>
        <v>KT 8832 ZH</v>
      </c>
      <c r="B984" s="6" t="str">
        <f aca="false">IF($A984="","",INDEX(PlanningItemsList,3))</f>
        <v>Service B</v>
      </c>
      <c r="C984" s="7"/>
      <c r="D984" s="7"/>
    </row>
    <row r="985" customFormat="false" ht="15" hidden="false" customHeight="false" outlineLevel="0" collapsed="false">
      <c r="A985" s="6" t="str">
        <f aca="false">IF('DATA UNIT'!$B51="","",'DATA UNIT'!$B51)</f>
        <v>KT 8832 ZH</v>
      </c>
      <c r="B985" s="6" t="str">
        <f aca="false">IF($A985="","",INDEX(PlanningItemsList,4))</f>
        <v>Brake Pad</v>
      </c>
      <c r="C985" s="7"/>
      <c r="D985" s="7"/>
    </row>
    <row r="986" customFormat="false" ht="15" hidden="false" customHeight="false" outlineLevel="0" collapsed="false">
      <c r="A986" s="6" t="str">
        <f aca="false">IF('DATA UNIT'!$B51="","",'DATA UNIT'!$B51)</f>
        <v>KT 8832 ZH</v>
      </c>
      <c r="B986" s="6" t="str">
        <f aca="false">IF($A986="","",INDEX(PlanningItemsList,5))</f>
        <v>Brake Shoe</v>
      </c>
      <c r="C986" s="7"/>
      <c r="D986" s="7"/>
    </row>
    <row r="987" customFormat="false" ht="15" hidden="false" customHeight="false" outlineLevel="0" collapsed="false">
      <c r="A987" s="6" t="str">
        <f aca="false">IF('DATA UNIT'!$B51="","",'DATA UNIT'!$B51)</f>
        <v>KT 8832 ZH</v>
      </c>
      <c r="B987" s="6" t="str">
        <f aca="false">IF($A987="","",INDEX(PlanningItemsList,6))</f>
        <v>Accu</v>
      </c>
      <c r="C987" s="7"/>
      <c r="D987" s="7"/>
    </row>
    <row r="988" customFormat="false" ht="15" hidden="false" customHeight="false" outlineLevel="0" collapsed="false">
      <c r="A988" s="6" t="str">
        <f aca="false">IF('DATA UNIT'!$B51="","",'DATA UNIT'!$B51)</f>
        <v>KT 8832 ZH</v>
      </c>
      <c r="B988" s="6" t="str">
        <f aca="false">IF($A988="","",INDEX(PlanningItemsList,7))</f>
        <v>Kampas Kopling Set</v>
      </c>
      <c r="C988" s="7"/>
      <c r="D988" s="7"/>
    </row>
    <row r="989" customFormat="false" ht="15" hidden="false" customHeight="false" outlineLevel="0" collapsed="false">
      <c r="A989" s="6" t="str">
        <f aca="false">IF('DATA UNIT'!$B51="","",'DATA UNIT'!$B51)</f>
        <v>KT 8832 ZH</v>
      </c>
      <c r="B989" s="6" t="str">
        <f aca="false">IF($A989="","",INDEX(PlanningItemsList,8))</f>
        <v>Wiper Blade</v>
      </c>
      <c r="C989" s="7"/>
      <c r="D989" s="7"/>
    </row>
    <row r="990" customFormat="false" ht="15" hidden="false" customHeight="false" outlineLevel="0" collapsed="false">
      <c r="A990" s="6" t="str">
        <f aca="false">IF('DATA UNIT'!$B51="","",'DATA UNIT'!$B51)</f>
        <v>KT 8832 ZH</v>
      </c>
      <c r="B990" s="6" t="str">
        <f aca="false">IF($A990="","",INDEX(PlanningItemsList,9))</f>
        <v>Ban Depan</v>
      </c>
      <c r="C990" s="7"/>
      <c r="D990" s="7"/>
    </row>
    <row r="991" customFormat="false" ht="15" hidden="false" customHeight="false" outlineLevel="0" collapsed="false">
      <c r="A991" s="6" t="str">
        <f aca="false">IF('DATA UNIT'!$B51="","",'DATA UNIT'!$B51)</f>
        <v>KT 8832 ZH</v>
      </c>
      <c r="B991" s="6" t="str">
        <f aca="false">IF($A991="","",INDEX(PlanningItemsList,10))</f>
        <v>Ban Belakang</v>
      </c>
      <c r="C991" s="7"/>
      <c r="D991" s="7"/>
    </row>
    <row r="992" customFormat="false" ht="15" hidden="false" customHeight="false" outlineLevel="0" collapsed="false">
      <c r="A992" s="6" t="str">
        <f aca="false">IF('DATA UNIT'!$B51="","",'DATA UNIT'!$B51)</f>
        <v>KT 8832 ZH</v>
      </c>
      <c r="B992" s="6" t="str">
        <f aca="false">IF($A992="","",INDEX(PlanningItemsList,11))</f>
        <v>Ban Serep</v>
      </c>
      <c r="C992" s="7"/>
      <c r="D992" s="7"/>
    </row>
    <row r="993" customFormat="false" ht="15" hidden="false" customHeight="false" outlineLevel="0" collapsed="false">
      <c r="A993" s="6" t="str">
        <f aca="false">IF('DATA UNIT'!$B51="","",'DATA UNIT'!$B51)</f>
        <v>KT 8832 ZH</v>
      </c>
      <c r="B993" s="6" t="str">
        <f aca="false">IF($A993="","",INDEX(PlanningItemsList,12))</f>
        <v>Greasing</v>
      </c>
      <c r="C993" s="7"/>
      <c r="D993" s="7"/>
    </row>
    <row r="994" customFormat="false" ht="15" hidden="false" customHeight="false" outlineLevel="0" collapsed="false">
      <c r="A994" s="6" t="str">
        <f aca="false">IF('DATA UNIT'!$B51="","",'DATA UNIT'!$B51)</f>
        <v>KT 8832 ZH</v>
      </c>
      <c r="B994" s="6" t="str">
        <f aca="false">IF($A994="","",INDEX(PlanningItemsList,13))</f>
        <v>V-Belt</v>
      </c>
      <c r="C994" s="7"/>
      <c r="D994" s="7"/>
    </row>
    <row r="995" customFormat="false" ht="15" hidden="false" customHeight="false" outlineLevel="0" collapsed="false">
      <c r="A995" s="6" t="str">
        <f aca="false">IF('DATA UNIT'!$B51="","",'DATA UNIT'!$B51)</f>
        <v>KT 8832 ZH</v>
      </c>
      <c r="B995" s="6" t="str">
        <f aca="false">IF($A995="","",INDEX(PlanningItemsList,14))</f>
        <v>Sarung Jok</v>
      </c>
      <c r="C995" s="7"/>
      <c r="D995" s="7"/>
    </row>
    <row r="996" customFormat="false" ht="15" hidden="false" customHeight="false" outlineLevel="0" collapsed="false">
      <c r="A996" s="6" t="str">
        <f aca="false">IF('DATA UNIT'!$B51="","",'DATA UNIT'!$B51)</f>
        <v>KT 8832 ZH</v>
      </c>
      <c r="B996" s="6" t="str">
        <f aca="false">IF($A996="","",INDEX(PlanningItemsList,15))</f>
        <v>Karpet Karet</v>
      </c>
      <c r="C996" s="7"/>
      <c r="D996" s="7"/>
    </row>
    <row r="997" customFormat="false" ht="15" hidden="false" customHeight="false" outlineLevel="0" collapsed="false">
      <c r="A997" s="6" t="str">
        <f aca="false">IF('DATA UNIT'!$B51="","",'DATA UNIT'!$B51)</f>
        <v>KT 8832 ZH</v>
      </c>
      <c r="B997" s="6" t="str">
        <f aca="false">IF($A997="","",INDEX(PlanningItemsList,16))</f>
        <v>Karpet Dasar</v>
      </c>
      <c r="C997" s="7"/>
      <c r="D997" s="7"/>
    </row>
    <row r="998" customFormat="false" ht="15" hidden="false" customHeight="false" outlineLevel="0" collapsed="false">
      <c r="A998" s="6" t="str">
        <f aca="false">IF('DATA UNIT'!$B51="","",'DATA UNIT'!$B51)</f>
        <v>KT 8832 ZH</v>
      </c>
      <c r="B998" s="6" t="str">
        <f aca="false">IF($A998="","",INDEX(PlanningItemsList,17))</f>
        <v>Flushing Radiator</v>
      </c>
      <c r="C998" s="7"/>
      <c r="D998" s="7"/>
    </row>
    <row r="999" customFormat="false" ht="15" hidden="false" customHeight="false" outlineLevel="0" collapsed="false">
      <c r="A999" s="6" t="str">
        <f aca="false">IF('DATA UNIT'!$B51="","",'DATA UNIT'!$B51)</f>
        <v>KT 8832 ZH</v>
      </c>
      <c r="B999" s="6" t="str">
        <f aca="false">IF($A999="","",INDEX(PlanningItemsList,18))</f>
        <v>Flushing Steering</v>
      </c>
      <c r="C999" s="7"/>
      <c r="D999" s="7"/>
    </row>
    <row r="1000" customFormat="false" ht="15" hidden="false" customHeight="false" outlineLevel="0" collapsed="false">
      <c r="A1000" s="6" t="str">
        <f aca="false">IF('DATA UNIT'!$B51="","",'DATA UNIT'!$B51)</f>
        <v>KT 8832 ZH</v>
      </c>
      <c r="B1000" s="6" t="str">
        <f aca="false">IF($A1000="","",INDEX(PlanningItemsList,19))</f>
        <v>Flushing Injector</v>
      </c>
      <c r="C1000" s="7"/>
      <c r="D1000" s="7"/>
    </row>
    <row r="1001" customFormat="false" ht="15" hidden="false" customHeight="false" outlineLevel="0" collapsed="false">
      <c r="A1001" s="6" t="str">
        <f aca="false">IF('DATA UNIT'!$B51="","",'DATA UNIT'!$B51)</f>
        <v>KT 8832 ZH</v>
      </c>
      <c r="B1001" s="6" t="str">
        <f aca="false">IF($A1001="","",INDEX(PlanningItemsList,20))</f>
        <v>Flushing Rem</v>
      </c>
      <c r="C1001" s="7"/>
      <c r="D1001" s="7"/>
    </row>
    <row r="1002" customFormat="false" ht="15" hidden="false" customHeight="false" outlineLevel="0" collapsed="false">
      <c r="A1002" s="6" t="str">
        <f aca="false">IF('DATA UNIT'!$B52="","",'DATA UNIT'!$B52)</f>
        <v>B 2898 UYP</v>
      </c>
      <c r="B1002" s="6" t="str">
        <f aca="false">IF($A1002="","",INDEX(PlanningItemsList,1))</f>
        <v>PM Check / Reguler Services</v>
      </c>
      <c r="C1002" s="7"/>
      <c r="D1002" s="7"/>
    </row>
    <row r="1003" customFormat="false" ht="15" hidden="false" customHeight="false" outlineLevel="0" collapsed="false">
      <c r="A1003" s="6" t="str">
        <f aca="false">IF('DATA UNIT'!$B52="","",'DATA UNIT'!$B52)</f>
        <v>B 2898 UYP</v>
      </c>
      <c r="B1003" s="6" t="str">
        <f aca="false">IF($A1003="","",INDEX(PlanningItemsList,2))</f>
        <v>Service A</v>
      </c>
      <c r="C1003" s="7"/>
      <c r="D1003" s="7"/>
    </row>
    <row r="1004" customFormat="false" ht="15" hidden="false" customHeight="false" outlineLevel="0" collapsed="false">
      <c r="A1004" s="6" t="str">
        <f aca="false">IF('DATA UNIT'!$B52="","",'DATA UNIT'!$B52)</f>
        <v>B 2898 UYP</v>
      </c>
      <c r="B1004" s="6" t="str">
        <f aca="false">IF($A1004="","",INDEX(PlanningItemsList,3))</f>
        <v>Service B</v>
      </c>
      <c r="C1004" s="7"/>
      <c r="D1004" s="7"/>
    </row>
    <row r="1005" customFormat="false" ht="15" hidden="false" customHeight="false" outlineLevel="0" collapsed="false">
      <c r="A1005" s="6" t="str">
        <f aca="false">IF('DATA UNIT'!$B52="","",'DATA UNIT'!$B52)</f>
        <v>B 2898 UYP</v>
      </c>
      <c r="B1005" s="6" t="str">
        <f aca="false">IF($A1005="","",INDEX(PlanningItemsList,4))</f>
        <v>Brake Pad</v>
      </c>
      <c r="C1005" s="7"/>
      <c r="D1005" s="7"/>
    </row>
    <row r="1006" customFormat="false" ht="15" hidden="false" customHeight="false" outlineLevel="0" collapsed="false">
      <c r="A1006" s="6" t="str">
        <f aca="false">IF('DATA UNIT'!$B52="","",'DATA UNIT'!$B52)</f>
        <v>B 2898 UYP</v>
      </c>
      <c r="B1006" s="6" t="str">
        <f aca="false">IF($A1006="","",INDEX(PlanningItemsList,5))</f>
        <v>Brake Shoe</v>
      </c>
      <c r="C1006" s="7"/>
      <c r="D1006" s="7"/>
    </row>
    <row r="1007" customFormat="false" ht="15" hidden="false" customHeight="false" outlineLevel="0" collapsed="false">
      <c r="A1007" s="6" t="str">
        <f aca="false">IF('DATA UNIT'!$B52="","",'DATA UNIT'!$B52)</f>
        <v>B 2898 UYP</v>
      </c>
      <c r="B1007" s="6" t="str">
        <f aca="false">IF($A1007="","",INDEX(PlanningItemsList,6))</f>
        <v>Accu</v>
      </c>
      <c r="C1007" s="7"/>
      <c r="D1007" s="7"/>
    </row>
    <row r="1008" customFormat="false" ht="15" hidden="false" customHeight="false" outlineLevel="0" collapsed="false">
      <c r="A1008" s="6" t="str">
        <f aca="false">IF('DATA UNIT'!$B52="","",'DATA UNIT'!$B52)</f>
        <v>B 2898 UYP</v>
      </c>
      <c r="B1008" s="6" t="str">
        <f aca="false">IF($A1008="","",INDEX(PlanningItemsList,7))</f>
        <v>Kampas Kopling Set</v>
      </c>
      <c r="C1008" s="7"/>
      <c r="D1008" s="7"/>
    </row>
    <row r="1009" customFormat="false" ht="15" hidden="false" customHeight="false" outlineLevel="0" collapsed="false">
      <c r="A1009" s="6" t="str">
        <f aca="false">IF('DATA UNIT'!$B52="","",'DATA UNIT'!$B52)</f>
        <v>B 2898 UYP</v>
      </c>
      <c r="B1009" s="6" t="str">
        <f aca="false">IF($A1009="","",INDEX(PlanningItemsList,8))</f>
        <v>Wiper Blade</v>
      </c>
      <c r="C1009" s="7"/>
      <c r="D1009" s="7"/>
    </row>
    <row r="1010" customFormat="false" ht="15" hidden="false" customHeight="false" outlineLevel="0" collapsed="false">
      <c r="A1010" s="6" t="str">
        <f aca="false">IF('DATA UNIT'!$B52="","",'DATA UNIT'!$B52)</f>
        <v>B 2898 UYP</v>
      </c>
      <c r="B1010" s="6" t="str">
        <f aca="false">IF($A1010="","",INDEX(PlanningItemsList,9))</f>
        <v>Ban Depan</v>
      </c>
      <c r="C1010" s="7"/>
      <c r="D1010" s="7"/>
    </row>
    <row r="1011" customFormat="false" ht="15" hidden="false" customHeight="false" outlineLevel="0" collapsed="false">
      <c r="A1011" s="6" t="str">
        <f aca="false">IF('DATA UNIT'!$B52="","",'DATA UNIT'!$B52)</f>
        <v>B 2898 UYP</v>
      </c>
      <c r="B1011" s="6" t="str">
        <f aca="false">IF($A1011="","",INDEX(PlanningItemsList,10))</f>
        <v>Ban Belakang</v>
      </c>
      <c r="C1011" s="7"/>
      <c r="D1011" s="7"/>
    </row>
    <row r="1012" customFormat="false" ht="15" hidden="false" customHeight="false" outlineLevel="0" collapsed="false">
      <c r="A1012" s="6" t="str">
        <f aca="false">IF('DATA UNIT'!$B52="","",'DATA UNIT'!$B52)</f>
        <v>B 2898 UYP</v>
      </c>
      <c r="B1012" s="6" t="str">
        <f aca="false">IF($A1012="","",INDEX(PlanningItemsList,11))</f>
        <v>Ban Serep</v>
      </c>
      <c r="C1012" s="7"/>
      <c r="D1012" s="7"/>
    </row>
    <row r="1013" customFormat="false" ht="15" hidden="false" customHeight="false" outlineLevel="0" collapsed="false">
      <c r="A1013" s="6" t="str">
        <f aca="false">IF('DATA UNIT'!$B52="","",'DATA UNIT'!$B52)</f>
        <v>B 2898 UYP</v>
      </c>
      <c r="B1013" s="6" t="str">
        <f aca="false">IF($A1013="","",INDEX(PlanningItemsList,12))</f>
        <v>Greasing</v>
      </c>
      <c r="C1013" s="7"/>
      <c r="D1013" s="7"/>
    </row>
    <row r="1014" customFormat="false" ht="15" hidden="false" customHeight="false" outlineLevel="0" collapsed="false">
      <c r="A1014" s="6" t="str">
        <f aca="false">IF('DATA UNIT'!$B52="","",'DATA UNIT'!$B52)</f>
        <v>B 2898 UYP</v>
      </c>
      <c r="B1014" s="6" t="str">
        <f aca="false">IF($A1014="","",INDEX(PlanningItemsList,13))</f>
        <v>V-Belt</v>
      </c>
      <c r="C1014" s="7"/>
      <c r="D1014" s="7"/>
    </row>
    <row r="1015" customFormat="false" ht="15" hidden="false" customHeight="false" outlineLevel="0" collapsed="false">
      <c r="A1015" s="6" t="str">
        <f aca="false">IF('DATA UNIT'!$B52="","",'DATA UNIT'!$B52)</f>
        <v>B 2898 UYP</v>
      </c>
      <c r="B1015" s="6" t="str">
        <f aca="false">IF($A1015="","",INDEX(PlanningItemsList,14))</f>
        <v>Sarung Jok</v>
      </c>
      <c r="C1015" s="7"/>
      <c r="D1015" s="7"/>
    </row>
    <row r="1016" customFormat="false" ht="15" hidden="false" customHeight="false" outlineLevel="0" collapsed="false">
      <c r="A1016" s="6" t="str">
        <f aca="false">IF('DATA UNIT'!$B52="","",'DATA UNIT'!$B52)</f>
        <v>B 2898 UYP</v>
      </c>
      <c r="B1016" s="6" t="str">
        <f aca="false">IF($A1016="","",INDEX(PlanningItemsList,15))</f>
        <v>Karpet Karet</v>
      </c>
      <c r="C1016" s="7"/>
      <c r="D1016" s="7"/>
    </row>
    <row r="1017" customFormat="false" ht="15" hidden="false" customHeight="false" outlineLevel="0" collapsed="false">
      <c r="A1017" s="6" t="str">
        <f aca="false">IF('DATA UNIT'!$B52="","",'DATA UNIT'!$B52)</f>
        <v>B 2898 UYP</v>
      </c>
      <c r="B1017" s="6" t="str">
        <f aca="false">IF($A1017="","",INDEX(PlanningItemsList,16))</f>
        <v>Karpet Dasar</v>
      </c>
      <c r="C1017" s="7"/>
      <c r="D1017" s="7"/>
    </row>
    <row r="1018" customFormat="false" ht="15" hidden="false" customHeight="false" outlineLevel="0" collapsed="false">
      <c r="A1018" s="6" t="str">
        <f aca="false">IF('DATA UNIT'!$B52="","",'DATA UNIT'!$B52)</f>
        <v>B 2898 UYP</v>
      </c>
      <c r="B1018" s="6" t="str">
        <f aca="false">IF($A1018="","",INDEX(PlanningItemsList,17))</f>
        <v>Flushing Radiator</v>
      </c>
      <c r="C1018" s="7"/>
      <c r="D1018" s="7"/>
    </row>
    <row r="1019" customFormat="false" ht="15" hidden="false" customHeight="false" outlineLevel="0" collapsed="false">
      <c r="A1019" s="6" t="str">
        <f aca="false">IF('DATA UNIT'!$B52="","",'DATA UNIT'!$B52)</f>
        <v>B 2898 UYP</v>
      </c>
      <c r="B1019" s="6" t="str">
        <f aca="false">IF($A1019="","",INDEX(PlanningItemsList,18))</f>
        <v>Flushing Steering</v>
      </c>
      <c r="C1019" s="7"/>
      <c r="D1019" s="7"/>
    </row>
    <row r="1020" customFormat="false" ht="15" hidden="false" customHeight="false" outlineLevel="0" collapsed="false">
      <c r="A1020" s="6" t="str">
        <f aca="false">IF('DATA UNIT'!$B52="","",'DATA UNIT'!$B52)</f>
        <v>B 2898 UYP</v>
      </c>
      <c r="B1020" s="6" t="str">
        <f aca="false">IF($A1020="","",INDEX(PlanningItemsList,19))</f>
        <v>Flushing Injector</v>
      </c>
      <c r="C1020" s="7"/>
      <c r="D1020" s="7"/>
    </row>
    <row r="1021" customFormat="false" ht="15" hidden="false" customHeight="false" outlineLevel="0" collapsed="false">
      <c r="A1021" s="6" t="str">
        <f aca="false">IF('DATA UNIT'!$B52="","",'DATA UNIT'!$B52)</f>
        <v>B 2898 UYP</v>
      </c>
      <c r="B1021" s="6" t="str">
        <f aca="false">IF($A1021="","",INDEX(PlanningItemsList,20))</f>
        <v>Flushing Rem</v>
      </c>
      <c r="C1021" s="7"/>
      <c r="D1021" s="7"/>
    </row>
    <row r="1022" customFormat="false" ht="15" hidden="false" customHeight="false" outlineLevel="0" collapsed="false">
      <c r="A1022" s="6" t="str">
        <f aca="false">IF('DATA UNIT'!$B53="","",'DATA UNIT'!$B53)</f>
        <v>KT 7398 KA</v>
      </c>
      <c r="B1022" s="6" t="str">
        <f aca="false">IF($A1022="","",INDEX(PlanningItemsList,1))</f>
        <v>PM Check / Reguler Services</v>
      </c>
      <c r="C1022" s="7"/>
      <c r="D1022" s="7"/>
    </row>
    <row r="1023" customFormat="false" ht="15" hidden="false" customHeight="false" outlineLevel="0" collapsed="false">
      <c r="A1023" s="6" t="str">
        <f aca="false">IF('DATA UNIT'!$B53="","",'DATA UNIT'!$B53)</f>
        <v>KT 7398 KA</v>
      </c>
      <c r="B1023" s="6" t="str">
        <f aca="false">IF($A1023="","",INDEX(PlanningItemsList,2))</f>
        <v>Service A</v>
      </c>
      <c r="C1023" s="7"/>
      <c r="D1023" s="7"/>
    </row>
    <row r="1024" customFormat="false" ht="15" hidden="false" customHeight="false" outlineLevel="0" collapsed="false">
      <c r="A1024" s="6" t="str">
        <f aca="false">IF('DATA UNIT'!$B53="","",'DATA UNIT'!$B53)</f>
        <v>KT 7398 KA</v>
      </c>
      <c r="B1024" s="6" t="str">
        <f aca="false">IF($A1024="","",INDEX(PlanningItemsList,3))</f>
        <v>Service B</v>
      </c>
      <c r="C1024" s="7"/>
      <c r="D1024" s="7"/>
    </row>
    <row r="1025" customFormat="false" ht="15" hidden="false" customHeight="false" outlineLevel="0" collapsed="false">
      <c r="A1025" s="6" t="str">
        <f aca="false">IF('DATA UNIT'!$B53="","",'DATA UNIT'!$B53)</f>
        <v>KT 7398 KA</v>
      </c>
      <c r="B1025" s="6" t="str">
        <f aca="false">IF($A1025="","",INDEX(PlanningItemsList,4))</f>
        <v>Brake Pad</v>
      </c>
      <c r="C1025" s="7"/>
      <c r="D1025" s="7"/>
    </row>
    <row r="1026" customFormat="false" ht="15" hidden="false" customHeight="false" outlineLevel="0" collapsed="false">
      <c r="A1026" s="6" t="str">
        <f aca="false">IF('DATA UNIT'!$B53="","",'DATA UNIT'!$B53)</f>
        <v>KT 7398 KA</v>
      </c>
      <c r="B1026" s="6" t="str">
        <f aca="false">IF($A1026="","",INDEX(PlanningItemsList,5))</f>
        <v>Brake Shoe</v>
      </c>
      <c r="C1026" s="7"/>
      <c r="D1026" s="7"/>
    </row>
    <row r="1027" customFormat="false" ht="15" hidden="false" customHeight="false" outlineLevel="0" collapsed="false">
      <c r="A1027" s="6" t="str">
        <f aca="false">IF('DATA UNIT'!$B53="","",'DATA UNIT'!$B53)</f>
        <v>KT 7398 KA</v>
      </c>
      <c r="B1027" s="6" t="str">
        <f aca="false">IF($A1027="","",INDEX(PlanningItemsList,6))</f>
        <v>Accu</v>
      </c>
      <c r="C1027" s="7"/>
      <c r="D1027" s="7"/>
    </row>
    <row r="1028" customFormat="false" ht="15" hidden="false" customHeight="false" outlineLevel="0" collapsed="false">
      <c r="A1028" s="6" t="str">
        <f aca="false">IF('DATA UNIT'!$B53="","",'DATA UNIT'!$B53)</f>
        <v>KT 7398 KA</v>
      </c>
      <c r="B1028" s="6" t="str">
        <f aca="false">IF($A1028="","",INDEX(PlanningItemsList,7))</f>
        <v>Kampas Kopling Set</v>
      </c>
      <c r="C1028" s="7"/>
      <c r="D1028" s="7"/>
    </row>
    <row r="1029" customFormat="false" ht="15" hidden="false" customHeight="false" outlineLevel="0" collapsed="false">
      <c r="A1029" s="6" t="str">
        <f aca="false">IF('DATA UNIT'!$B53="","",'DATA UNIT'!$B53)</f>
        <v>KT 7398 KA</v>
      </c>
      <c r="B1029" s="6" t="str">
        <f aca="false">IF($A1029="","",INDEX(PlanningItemsList,8))</f>
        <v>Wiper Blade</v>
      </c>
      <c r="C1029" s="7"/>
      <c r="D1029" s="7"/>
    </row>
    <row r="1030" customFormat="false" ht="15" hidden="false" customHeight="false" outlineLevel="0" collapsed="false">
      <c r="A1030" s="6" t="str">
        <f aca="false">IF('DATA UNIT'!$B53="","",'DATA UNIT'!$B53)</f>
        <v>KT 7398 KA</v>
      </c>
      <c r="B1030" s="6" t="str">
        <f aca="false">IF($A1030="","",INDEX(PlanningItemsList,9))</f>
        <v>Ban Depan</v>
      </c>
      <c r="C1030" s="7"/>
      <c r="D1030" s="7"/>
    </row>
    <row r="1031" customFormat="false" ht="15" hidden="false" customHeight="false" outlineLevel="0" collapsed="false">
      <c r="A1031" s="6" t="str">
        <f aca="false">IF('DATA UNIT'!$B53="","",'DATA UNIT'!$B53)</f>
        <v>KT 7398 KA</v>
      </c>
      <c r="B1031" s="6" t="str">
        <f aca="false">IF($A1031="","",INDEX(PlanningItemsList,10))</f>
        <v>Ban Belakang</v>
      </c>
      <c r="C1031" s="7"/>
      <c r="D1031" s="7"/>
    </row>
    <row r="1032" customFormat="false" ht="15" hidden="false" customHeight="false" outlineLevel="0" collapsed="false">
      <c r="A1032" s="6" t="str">
        <f aca="false">IF('DATA UNIT'!$B53="","",'DATA UNIT'!$B53)</f>
        <v>KT 7398 KA</v>
      </c>
      <c r="B1032" s="6" t="str">
        <f aca="false">IF($A1032="","",INDEX(PlanningItemsList,11))</f>
        <v>Ban Serep</v>
      </c>
      <c r="C1032" s="7"/>
      <c r="D1032" s="7"/>
    </row>
    <row r="1033" customFormat="false" ht="15" hidden="false" customHeight="false" outlineLevel="0" collapsed="false">
      <c r="A1033" s="6" t="str">
        <f aca="false">IF('DATA UNIT'!$B53="","",'DATA UNIT'!$B53)</f>
        <v>KT 7398 KA</v>
      </c>
      <c r="B1033" s="6" t="str">
        <f aca="false">IF($A1033="","",INDEX(PlanningItemsList,12))</f>
        <v>Greasing</v>
      </c>
      <c r="C1033" s="7"/>
      <c r="D1033" s="7"/>
    </row>
    <row r="1034" customFormat="false" ht="15" hidden="false" customHeight="false" outlineLevel="0" collapsed="false">
      <c r="A1034" s="6" t="str">
        <f aca="false">IF('DATA UNIT'!$B53="","",'DATA UNIT'!$B53)</f>
        <v>KT 7398 KA</v>
      </c>
      <c r="B1034" s="6" t="str">
        <f aca="false">IF($A1034="","",INDEX(PlanningItemsList,13))</f>
        <v>V-Belt</v>
      </c>
      <c r="C1034" s="7"/>
      <c r="D1034" s="7"/>
    </row>
    <row r="1035" customFormat="false" ht="15" hidden="false" customHeight="false" outlineLevel="0" collapsed="false">
      <c r="A1035" s="6" t="str">
        <f aca="false">IF('DATA UNIT'!$B53="","",'DATA UNIT'!$B53)</f>
        <v>KT 7398 KA</v>
      </c>
      <c r="B1035" s="6" t="str">
        <f aca="false">IF($A1035="","",INDEX(PlanningItemsList,14))</f>
        <v>Sarung Jok</v>
      </c>
      <c r="C1035" s="7"/>
      <c r="D1035" s="7"/>
    </row>
    <row r="1036" customFormat="false" ht="15" hidden="false" customHeight="false" outlineLevel="0" collapsed="false">
      <c r="A1036" s="6" t="str">
        <f aca="false">IF('DATA UNIT'!$B53="","",'DATA UNIT'!$B53)</f>
        <v>KT 7398 KA</v>
      </c>
      <c r="B1036" s="6" t="str">
        <f aca="false">IF($A1036="","",INDEX(PlanningItemsList,15))</f>
        <v>Karpet Karet</v>
      </c>
      <c r="C1036" s="7"/>
      <c r="D1036" s="7"/>
    </row>
    <row r="1037" customFormat="false" ht="15" hidden="false" customHeight="false" outlineLevel="0" collapsed="false">
      <c r="A1037" s="6" t="str">
        <f aca="false">IF('DATA UNIT'!$B53="","",'DATA UNIT'!$B53)</f>
        <v>KT 7398 KA</v>
      </c>
      <c r="B1037" s="6" t="str">
        <f aca="false">IF($A1037="","",INDEX(PlanningItemsList,16))</f>
        <v>Karpet Dasar</v>
      </c>
      <c r="C1037" s="7"/>
      <c r="D1037" s="7"/>
    </row>
    <row r="1038" customFormat="false" ht="15" hidden="false" customHeight="false" outlineLevel="0" collapsed="false">
      <c r="A1038" s="6" t="str">
        <f aca="false">IF('DATA UNIT'!$B53="","",'DATA UNIT'!$B53)</f>
        <v>KT 7398 KA</v>
      </c>
      <c r="B1038" s="6" t="str">
        <f aca="false">IF($A1038="","",INDEX(PlanningItemsList,17))</f>
        <v>Flushing Radiator</v>
      </c>
      <c r="C1038" s="7"/>
      <c r="D1038" s="7"/>
    </row>
    <row r="1039" customFormat="false" ht="15" hidden="false" customHeight="false" outlineLevel="0" collapsed="false">
      <c r="A1039" s="6" t="str">
        <f aca="false">IF('DATA UNIT'!$B53="","",'DATA UNIT'!$B53)</f>
        <v>KT 7398 KA</v>
      </c>
      <c r="B1039" s="6" t="str">
        <f aca="false">IF($A1039="","",INDEX(PlanningItemsList,18))</f>
        <v>Flushing Steering</v>
      </c>
      <c r="C1039" s="7"/>
      <c r="D1039" s="7"/>
    </row>
    <row r="1040" customFormat="false" ht="15" hidden="false" customHeight="false" outlineLevel="0" collapsed="false">
      <c r="A1040" s="6" t="str">
        <f aca="false">IF('DATA UNIT'!$B53="","",'DATA UNIT'!$B53)</f>
        <v>KT 7398 KA</v>
      </c>
      <c r="B1040" s="6" t="str">
        <f aca="false">IF($A1040="","",INDEX(PlanningItemsList,19))</f>
        <v>Flushing Injector</v>
      </c>
      <c r="C1040" s="7"/>
      <c r="D1040" s="7"/>
    </row>
    <row r="1041" customFormat="false" ht="15" hidden="false" customHeight="false" outlineLevel="0" collapsed="false">
      <c r="A1041" s="6" t="str">
        <f aca="false">IF('DATA UNIT'!$B53="","",'DATA UNIT'!$B53)</f>
        <v>KT 7398 KA</v>
      </c>
      <c r="B1041" s="6" t="str">
        <f aca="false">IF($A1041="","",INDEX(PlanningItemsList,20))</f>
        <v>Flushing Rem</v>
      </c>
      <c r="C1041" s="7"/>
      <c r="D1041" s="7"/>
    </row>
    <row r="1042" customFormat="false" ht="15" hidden="false" customHeight="false" outlineLevel="0" collapsed="false">
      <c r="A1042" s="6" t="str">
        <f aca="false">IF('DATA UNIT'!$B54="","",'DATA UNIT'!$B54)</f>
        <v>KT 7401 KA</v>
      </c>
      <c r="B1042" s="6" t="str">
        <f aca="false">IF($A1042="","",INDEX(PlanningItemsList,1))</f>
        <v>PM Check / Reguler Services</v>
      </c>
      <c r="C1042" s="7"/>
      <c r="D1042" s="7"/>
    </row>
    <row r="1043" customFormat="false" ht="15" hidden="false" customHeight="false" outlineLevel="0" collapsed="false">
      <c r="A1043" s="6" t="str">
        <f aca="false">IF('DATA UNIT'!$B54="","",'DATA UNIT'!$B54)</f>
        <v>KT 7401 KA</v>
      </c>
      <c r="B1043" s="6" t="str">
        <f aca="false">IF($A1043="","",INDEX(PlanningItemsList,2))</f>
        <v>Service A</v>
      </c>
      <c r="C1043" s="7"/>
      <c r="D1043" s="7"/>
    </row>
    <row r="1044" customFormat="false" ht="15" hidden="false" customHeight="false" outlineLevel="0" collapsed="false">
      <c r="A1044" s="6" t="str">
        <f aca="false">IF('DATA UNIT'!$B54="","",'DATA UNIT'!$B54)</f>
        <v>KT 7401 KA</v>
      </c>
      <c r="B1044" s="6" t="str">
        <f aca="false">IF($A1044="","",INDEX(PlanningItemsList,3))</f>
        <v>Service B</v>
      </c>
      <c r="C1044" s="7"/>
      <c r="D1044" s="7"/>
    </row>
    <row r="1045" customFormat="false" ht="15" hidden="false" customHeight="false" outlineLevel="0" collapsed="false">
      <c r="A1045" s="6" t="str">
        <f aca="false">IF('DATA UNIT'!$B54="","",'DATA UNIT'!$B54)</f>
        <v>KT 7401 KA</v>
      </c>
      <c r="B1045" s="6" t="str">
        <f aca="false">IF($A1045="","",INDEX(PlanningItemsList,4))</f>
        <v>Brake Pad</v>
      </c>
      <c r="C1045" s="7"/>
      <c r="D1045" s="7"/>
    </row>
    <row r="1046" customFormat="false" ht="15" hidden="false" customHeight="false" outlineLevel="0" collapsed="false">
      <c r="A1046" s="6" t="str">
        <f aca="false">IF('DATA UNIT'!$B54="","",'DATA UNIT'!$B54)</f>
        <v>KT 7401 KA</v>
      </c>
      <c r="B1046" s="6" t="str">
        <f aca="false">IF($A1046="","",INDEX(PlanningItemsList,5))</f>
        <v>Brake Shoe</v>
      </c>
      <c r="C1046" s="7"/>
      <c r="D1046" s="7"/>
    </row>
    <row r="1047" customFormat="false" ht="15" hidden="false" customHeight="false" outlineLevel="0" collapsed="false">
      <c r="A1047" s="6" t="str">
        <f aca="false">IF('DATA UNIT'!$B54="","",'DATA UNIT'!$B54)</f>
        <v>KT 7401 KA</v>
      </c>
      <c r="B1047" s="6" t="str">
        <f aca="false">IF($A1047="","",INDEX(PlanningItemsList,6))</f>
        <v>Accu</v>
      </c>
      <c r="C1047" s="7"/>
      <c r="D1047" s="7"/>
    </row>
    <row r="1048" customFormat="false" ht="15" hidden="false" customHeight="false" outlineLevel="0" collapsed="false">
      <c r="A1048" s="6" t="str">
        <f aca="false">IF('DATA UNIT'!$B54="","",'DATA UNIT'!$B54)</f>
        <v>KT 7401 KA</v>
      </c>
      <c r="B1048" s="6" t="str">
        <f aca="false">IF($A1048="","",INDEX(PlanningItemsList,7))</f>
        <v>Kampas Kopling Set</v>
      </c>
      <c r="C1048" s="7"/>
      <c r="D1048" s="7"/>
    </row>
    <row r="1049" customFormat="false" ht="15" hidden="false" customHeight="false" outlineLevel="0" collapsed="false">
      <c r="A1049" s="6" t="str">
        <f aca="false">IF('DATA UNIT'!$B54="","",'DATA UNIT'!$B54)</f>
        <v>KT 7401 KA</v>
      </c>
      <c r="B1049" s="6" t="str">
        <f aca="false">IF($A1049="","",INDEX(PlanningItemsList,8))</f>
        <v>Wiper Blade</v>
      </c>
      <c r="C1049" s="7"/>
      <c r="D1049" s="7"/>
    </row>
    <row r="1050" customFormat="false" ht="15" hidden="false" customHeight="false" outlineLevel="0" collapsed="false">
      <c r="A1050" s="6" t="str">
        <f aca="false">IF('DATA UNIT'!$B54="","",'DATA UNIT'!$B54)</f>
        <v>KT 7401 KA</v>
      </c>
      <c r="B1050" s="6" t="str">
        <f aca="false">IF($A1050="","",INDEX(PlanningItemsList,9))</f>
        <v>Ban Depan</v>
      </c>
      <c r="C1050" s="7"/>
      <c r="D1050" s="7"/>
    </row>
    <row r="1051" customFormat="false" ht="15" hidden="false" customHeight="false" outlineLevel="0" collapsed="false">
      <c r="A1051" s="6" t="str">
        <f aca="false">IF('DATA UNIT'!$B54="","",'DATA UNIT'!$B54)</f>
        <v>KT 7401 KA</v>
      </c>
      <c r="B1051" s="6" t="str">
        <f aca="false">IF($A1051="","",INDEX(PlanningItemsList,10))</f>
        <v>Ban Belakang</v>
      </c>
      <c r="C1051" s="7"/>
      <c r="D1051" s="7"/>
    </row>
    <row r="1052" customFormat="false" ht="15" hidden="false" customHeight="false" outlineLevel="0" collapsed="false">
      <c r="A1052" s="6" t="str">
        <f aca="false">IF('DATA UNIT'!$B54="","",'DATA UNIT'!$B54)</f>
        <v>KT 7401 KA</v>
      </c>
      <c r="B1052" s="6" t="str">
        <f aca="false">IF($A1052="","",INDEX(PlanningItemsList,11))</f>
        <v>Ban Serep</v>
      </c>
      <c r="C1052" s="7"/>
      <c r="D1052" s="7"/>
    </row>
    <row r="1053" customFormat="false" ht="15" hidden="false" customHeight="false" outlineLevel="0" collapsed="false">
      <c r="A1053" s="6" t="str">
        <f aca="false">IF('DATA UNIT'!$B54="","",'DATA UNIT'!$B54)</f>
        <v>KT 7401 KA</v>
      </c>
      <c r="B1053" s="6" t="str">
        <f aca="false">IF($A1053="","",INDEX(PlanningItemsList,12))</f>
        <v>Greasing</v>
      </c>
      <c r="C1053" s="7"/>
      <c r="D1053" s="7"/>
    </row>
    <row r="1054" customFormat="false" ht="15" hidden="false" customHeight="false" outlineLevel="0" collapsed="false">
      <c r="A1054" s="6" t="str">
        <f aca="false">IF('DATA UNIT'!$B54="","",'DATA UNIT'!$B54)</f>
        <v>KT 7401 KA</v>
      </c>
      <c r="B1054" s="6" t="str">
        <f aca="false">IF($A1054="","",INDEX(PlanningItemsList,13))</f>
        <v>V-Belt</v>
      </c>
      <c r="C1054" s="7"/>
      <c r="D1054" s="7"/>
    </row>
    <row r="1055" customFormat="false" ht="15" hidden="false" customHeight="false" outlineLevel="0" collapsed="false">
      <c r="A1055" s="6" t="str">
        <f aca="false">IF('DATA UNIT'!$B54="","",'DATA UNIT'!$B54)</f>
        <v>KT 7401 KA</v>
      </c>
      <c r="B1055" s="6" t="str">
        <f aca="false">IF($A1055="","",INDEX(PlanningItemsList,14))</f>
        <v>Sarung Jok</v>
      </c>
      <c r="C1055" s="7"/>
      <c r="D1055" s="7"/>
    </row>
    <row r="1056" customFormat="false" ht="15" hidden="false" customHeight="false" outlineLevel="0" collapsed="false">
      <c r="A1056" s="6" t="str">
        <f aca="false">IF('DATA UNIT'!$B54="","",'DATA UNIT'!$B54)</f>
        <v>KT 7401 KA</v>
      </c>
      <c r="B1056" s="6" t="str">
        <f aca="false">IF($A1056="","",INDEX(PlanningItemsList,15))</f>
        <v>Karpet Karet</v>
      </c>
      <c r="C1056" s="7"/>
      <c r="D1056" s="7"/>
    </row>
    <row r="1057" customFormat="false" ht="15" hidden="false" customHeight="false" outlineLevel="0" collapsed="false">
      <c r="A1057" s="6" t="str">
        <f aca="false">IF('DATA UNIT'!$B54="","",'DATA UNIT'!$B54)</f>
        <v>KT 7401 KA</v>
      </c>
      <c r="B1057" s="6" t="str">
        <f aca="false">IF($A1057="","",INDEX(PlanningItemsList,16))</f>
        <v>Karpet Dasar</v>
      </c>
      <c r="C1057" s="7"/>
      <c r="D1057" s="7"/>
    </row>
    <row r="1058" customFormat="false" ht="15" hidden="false" customHeight="false" outlineLevel="0" collapsed="false">
      <c r="A1058" s="6" t="str">
        <f aca="false">IF('DATA UNIT'!$B54="","",'DATA UNIT'!$B54)</f>
        <v>KT 7401 KA</v>
      </c>
      <c r="B1058" s="6" t="str">
        <f aca="false">IF($A1058="","",INDEX(PlanningItemsList,17))</f>
        <v>Flushing Radiator</v>
      </c>
      <c r="C1058" s="7"/>
      <c r="D1058" s="7"/>
    </row>
    <row r="1059" customFormat="false" ht="15" hidden="false" customHeight="false" outlineLevel="0" collapsed="false">
      <c r="A1059" s="6" t="str">
        <f aca="false">IF('DATA UNIT'!$B54="","",'DATA UNIT'!$B54)</f>
        <v>KT 7401 KA</v>
      </c>
      <c r="B1059" s="6" t="str">
        <f aca="false">IF($A1059="","",INDEX(PlanningItemsList,18))</f>
        <v>Flushing Steering</v>
      </c>
      <c r="C1059" s="7"/>
      <c r="D1059" s="7"/>
    </row>
    <row r="1060" customFormat="false" ht="15" hidden="false" customHeight="false" outlineLevel="0" collapsed="false">
      <c r="A1060" s="6" t="str">
        <f aca="false">IF('DATA UNIT'!$B54="","",'DATA UNIT'!$B54)</f>
        <v>KT 7401 KA</v>
      </c>
      <c r="B1060" s="6" t="str">
        <f aca="false">IF($A1060="","",INDEX(PlanningItemsList,19))</f>
        <v>Flushing Injector</v>
      </c>
      <c r="C1060" s="7"/>
      <c r="D1060" s="7"/>
    </row>
    <row r="1061" customFormat="false" ht="15" hidden="false" customHeight="false" outlineLevel="0" collapsed="false">
      <c r="A1061" s="6" t="str">
        <f aca="false">IF('DATA UNIT'!$B54="","",'DATA UNIT'!$B54)</f>
        <v>KT 7401 KA</v>
      </c>
      <c r="B1061" s="6" t="str">
        <f aca="false">IF($A1061="","",INDEX(PlanningItemsList,20))</f>
        <v>Flushing Rem</v>
      </c>
      <c r="C1061" s="7"/>
      <c r="D1061" s="7"/>
    </row>
    <row r="1062" customFormat="false" ht="15" hidden="false" customHeight="false" outlineLevel="0" collapsed="false">
      <c r="A1062" s="6" t="str">
        <f aca="false">IF('DATA UNIT'!$B55="","",'DATA UNIT'!$B55)</f>
        <v>KT 8492 ZI</v>
      </c>
      <c r="B1062" s="6" t="str">
        <f aca="false">IF($A1062="","",INDEX(PlanningItemsList,1))</f>
        <v>PM Check / Reguler Services</v>
      </c>
      <c r="C1062" s="7"/>
      <c r="D1062" s="7"/>
    </row>
    <row r="1063" customFormat="false" ht="15" hidden="false" customHeight="false" outlineLevel="0" collapsed="false">
      <c r="A1063" s="6" t="str">
        <f aca="false">IF('DATA UNIT'!$B55="","",'DATA UNIT'!$B55)</f>
        <v>KT 8492 ZI</v>
      </c>
      <c r="B1063" s="6" t="str">
        <f aca="false">IF($A1063="","",INDEX(PlanningItemsList,2))</f>
        <v>Service A</v>
      </c>
      <c r="C1063" s="7"/>
      <c r="D1063" s="7"/>
    </row>
    <row r="1064" customFormat="false" ht="15" hidden="false" customHeight="false" outlineLevel="0" collapsed="false">
      <c r="A1064" s="6" t="str">
        <f aca="false">IF('DATA UNIT'!$B55="","",'DATA UNIT'!$B55)</f>
        <v>KT 8492 ZI</v>
      </c>
      <c r="B1064" s="6" t="str">
        <f aca="false">IF($A1064="","",INDEX(PlanningItemsList,3))</f>
        <v>Service B</v>
      </c>
      <c r="C1064" s="7"/>
      <c r="D1064" s="7"/>
    </row>
    <row r="1065" customFormat="false" ht="15" hidden="false" customHeight="false" outlineLevel="0" collapsed="false">
      <c r="A1065" s="6" t="str">
        <f aca="false">IF('DATA UNIT'!$B55="","",'DATA UNIT'!$B55)</f>
        <v>KT 8492 ZI</v>
      </c>
      <c r="B1065" s="6" t="str">
        <f aca="false">IF($A1065="","",INDEX(PlanningItemsList,4))</f>
        <v>Brake Pad</v>
      </c>
      <c r="C1065" s="7"/>
      <c r="D1065" s="7"/>
    </row>
    <row r="1066" customFormat="false" ht="15" hidden="false" customHeight="false" outlineLevel="0" collapsed="false">
      <c r="A1066" s="6" t="str">
        <f aca="false">IF('DATA UNIT'!$B55="","",'DATA UNIT'!$B55)</f>
        <v>KT 8492 ZI</v>
      </c>
      <c r="B1066" s="6" t="str">
        <f aca="false">IF($A1066="","",INDEX(PlanningItemsList,5))</f>
        <v>Brake Shoe</v>
      </c>
      <c r="C1066" s="7"/>
      <c r="D1066" s="7"/>
    </row>
    <row r="1067" customFormat="false" ht="15" hidden="false" customHeight="false" outlineLevel="0" collapsed="false">
      <c r="A1067" s="6" t="str">
        <f aca="false">IF('DATA UNIT'!$B55="","",'DATA UNIT'!$B55)</f>
        <v>KT 8492 ZI</v>
      </c>
      <c r="B1067" s="6" t="str">
        <f aca="false">IF($A1067="","",INDEX(PlanningItemsList,6))</f>
        <v>Accu</v>
      </c>
      <c r="C1067" s="7"/>
      <c r="D1067" s="7"/>
    </row>
    <row r="1068" customFormat="false" ht="15" hidden="false" customHeight="false" outlineLevel="0" collapsed="false">
      <c r="A1068" s="6" t="str">
        <f aca="false">IF('DATA UNIT'!$B55="","",'DATA UNIT'!$B55)</f>
        <v>KT 8492 ZI</v>
      </c>
      <c r="B1068" s="6" t="str">
        <f aca="false">IF($A1068="","",INDEX(PlanningItemsList,7))</f>
        <v>Kampas Kopling Set</v>
      </c>
      <c r="C1068" s="7"/>
      <c r="D1068" s="7"/>
    </row>
    <row r="1069" customFormat="false" ht="15" hidden="false" customHeight="false" outlineLevel="0" collapsed="false">
      <c r="A1069" s="6" t="str">
        <f aca="false">IF('DATA UNIT'!$B55="","",'DATA UNIT'!$B55)</f>
        <v>KT 8492 ZI</v>
      </c>
      <c r="B1069" s="6" t="str">
        <f aca="false">IF($A1069="","",INDEX(PlanningItemsList,8))</f>
        <v>Wiper Blade</v>
      </c>
      <c r="C1069" s="7"/>
      <c r="D1069" s="7"/>
    </row>
    <row r="1070" customFormat="false" ht="15" hidden="false" customHeight="false" outlineLevel="0" collapsed="false">
      <c r="A1070" s="6" t="str">
        <f aca="false">IF('DATA UNIT'!$B55="","",'DATA UNIT'!$B55)</f>
        <v>KT 8492 ZI</v>
      </c>
      <c r="B1070" s="6" t="str">
        <f aca="false">IF($A1070="","",INDEX(PlanningItemsList,9))</f>
        <v>Ban Depan</v>
      </c>
      <c r="C1070" s="7"/>
      <c r="D1070" s="7"/>
    </row>
    <row r="1071" customFormat="false" ht="15" hidden="false" customHeight="false" outlineLevel="0" collapsed="false">
      <c r="A1071" s="6" t="str">
        <f aca="false">IF('DATA UNIT'!$B55="","",'DATA UNIT'!$B55)</f>
        <v>KT 8492 ZI</v>
      </c>
      <c r="B1071" s="6" t="str">
        <f aca="false">IF($A1071="","",INDEX(PlanningItemsList,10))</f>
        <v>Ban Belakang</v>
      </c>
      <c r="C1071" s="7"/>
      <c r="D1071" s="7"/>
    </row>
    <row r="1072" customFormat="false" ht="15" hidden="false" customHeight="false" outlineLevel="0" collapsed="false">
      <c r="A1072" s="6" t="str">
        <f aca="false">IF('DATA UNIT'!$B55="","",'DATA UNIT'!$B55)</f>
        <v>KT 8492 ZI</v>
      </c>
      <c r="B1072" s="6" t="str">
        <f aca="false">IF($A1072="","",INDEX(PlanningItemsList,11))</f>
        <v>Ban Serep</v>
      </c>
      <c r="C1072" s="7"/>
      <c r="D1072" s="7"/>
    </row>
    <row r="1073" customFormat="false" ht="15" hidden="false" customHeight="false" outlineLevel="0" collapsed="false">
      <c r="A1073" s="6" t="str">
        <f aca="false">IF('DATA UNIT'!$B55="","",'DATA UNIT'!$B55)</f>
        <v>KT 8492 ZI</v>
      </c>
      <c r="B1073" s="6" t="str">
        <f aca="false">IF($A1073="","",INDEX(PlanningItemsList,12))</f>
        <v>Greasing</v>
      </c>
      <c r="C1073" s="7"/>
      <c r="D1073" s="7"/>
    </row>
    <row r="1074" customFormat="false" ht="15" hidden="false" customHeight="false" outlineLevel="0" collapsed="false">
      <c r="A1074" s="6" t="str">
        <f aca="false">IF('DATA UNIT'!$B55="","",'DATA UNIT'!$B55)</f>
        <v>KT 8492 ZI</v>
      </c>
      <c r="B1074" s="6" t="str">
        <f aca="false">IF($A1074="","",INDEX(PlanningItemsList,13))</f>
        <v>V-Belt</v>
      </c>
      <c r="C1074" s="7"/>
      <c r="D1074" s="7"/>
    </row>
    <row r="1075" customFormat="false" ht="15" hidden="false" customHeight="false" outlineLevel="0" collapsed="false">
      <c r="A1075" s="6" t="str">
        <f aca="false">IF('DATA UNIT'!$B55="","",'DATA UNIT'!$B55)</f>
        <v>KT 8492 ZI</v>
      </c>
      <c r="B1075" s="6" t="str">
        <f aca="false">IF($A1075="","",INDEX(PlanningItemsList,14))</f>
        <v>Sarung Jok</v>
      </c>
      <c r="C1075" s="7"/>
      <c r="D1075" s="7"/>
    </row>
    <row r="1076" customFormat="false" ht="15" hidden="false" customHeight="false" outlineLevel="0" collapsed="false">
      <c r="A1076" s="6" t="str">
        <f aca="false">IF('DATA UNIT'!$B55="","",'DATA UNIT'!$B55)</f>
        <v>KT 8492 ZI</v>
      </c>
      <c r="B1076" s="6" t="str">
        <f aca="false">IF($A1076="","",INDEX(PlanningItemsList,15))</f>
        <v>Karpet Karet</v>
      </c>
      <c r="C1076" s="7"/>
      <c r="D1076" s="7"/>
    </row>
    <row r="1077" customFormat="false" ht="15" hidden="false" customHeight="false" outlineLevel="0" collapsed="false">
      <c r="A1077" s="6" t="str">
        <f aca="false">IF('DATA UNIT'!$B55="","",'DATA UNIT'!$B55)</f>
        <v>KT 8492 ZI</v>
      </c>
      <c r="B1077" s="6" t="str">
        <f aca="false">IF($A1077="","",INDEX(PlanningItemsList,16))</f>
        <v>Karpet Dasar</v>
      </c>
      <c r="C1077" s="7"/>
      <c r="D1077" s="7"/>
    </row>
    <row r="1078" customFormat="false" ht="15" hidden="false" customHeight="false" outlineLevel="0" collapsed="false">
      <c r="A1078" s="6" t="str">
        <f aca="false">IF('DATA UNIT'!$B55="","",'DATA UNIT'!$B55)</f>
        <v>KT 8492 ZI</v>
      </c>
      <c r="B1078" s="6" t="str">
        <f aca="false">IF($A1078="","",INDEX(PlanningItemsList,17))</f>
        <v>Flushing Radiator</v>
      </c>
      <c r="C1078" s="7"/>
      <c r="D1078" s="7"/>
    </row>
    <row r="1079" customFormat="false" ht="15" hidden="false" customHeight="false" outlineLevel="0" collapsed="false">
      <c r="A1079" s="6" t="str">
        <f aca="false">IF('DATA UNIT'!$B55="","",'DATA UNIT'!$B55)</f>
        <v>KT 8492 ZI</v>
      </c>
      <c r="B1079" s="6" t="str">
        <f aca="false">IF($A1079="","",INDEX(PlanningItemsList,18))</f>
        <v>Flushing Steering</v>
      </c>
      <c r="C1079" s="7"/>
      <c r="D1079" s="7"/>
    </row>
    <row r="1080" customFormat="false" ht="15" hidden="false" customHeight="false" outlineLevel="0" collapsed="false">
      <c r="A1080" s="6" t="str">
        <f aca="false">IF('DATA UNIT'!$B55="","",'DATA UNIT'!$B55)</f>
        <v>KT 8492 ZI</v>
      </c>
      <c r="B1080" s="6" t="str">
        <f aca="false">IF($A1080="","",INDEX(PlanningItemsList,19))</f>
        <v>Flushing Injector</v>
      </c>
      <c r="C1080" s="7"/>
      <c r="D1080" s="7"/>
    </row>
    <row r="1081" customFormat="false" ht="15" hidden="false" customHeight="false" outlineLevel="0" collapsed="false">
      <c r="A1081" s="6" t="str">
        <f aca="false">IF('DATA UNIT'!$B55="","",'DATA UNIT'!$B55)</f>
        <v>KT 8492 ZI</v>
      </c>
      <c r="B1081" s="6" t="str">
        <f aca="false">IF($A1081="","",INDEX(PlanningItemsList,20))</f>
        <v>Flushing Rem</v>
      </c>
      <c r="C1081" s="7"/>
      <c r="D1081" s="7"/>
    </row>
    <row r="1082" customFormat="false" ht="15" hidden="false" customHeight="false" outlineLevel="0" collapsed="false">
      <c r="A1082" s="6" t="str">
        <f aca="false">IF('DATA UNIT'!$B56="","",'DATA UNIT'!$B56)</f>
        <v>KT 8918 ZL</v>
      </c>
      <c r="B1082" s="6" t="str">
        <f aca="false">IF($A1082="","",INDEX(PlanningItemsList,1))</f>
        <v>PM Check / Reguler Services</v>
      </c>
      <c r="C1082" s="7"/>
      <c r="D1082" s="7"/>
    </row>
    <row r="1083" customFormat="false" ht="15" hidden="false" customHeight="false" outlineLevel="0" collapsed="false">
      <c r="A1083" s="6" t="str">
        <f aca="false">IF('DATA UNIT'!$B56="","",'DATA UNIT'!$B56)</f>
        <v>KT 8918 ZL</v>
      </c>
      <c r="B1083" s="6" t="str">
        <f aca="false">IF($A1083="","",INDEX(PlanningItemsList,2))</f>
        <v>Service A</v>
      </c>
      <c r="C1083" s="7"/>
      <c r="D1083" s="7"/>
    </row>
    <row r="1084" customFormat="false" ht="15" hidden="false" customHeight="false" outlineLevel="0" collapsed="false">
      <c r="A1084" s="6" t="str">
        <f aca="false">IF('DATA UNIT'!$B56="","",'DATA UNIT'!$B56)</f>
        <v>KT 8918 ZL</v>
      </c>
      <c r="B1084" s="6" t="str">
        <f aca="false">IF($A1084="","",INDEX(PlanningItemsList,3))</f>
        <v>Service B</v>
      </c>
      <c r="C1084" s="7"/>
      <c r="D1084" s="7"/>
    </row>
    <row r="1085" customFormat="false" ht="15" hidden="false" customHeight="false" outlineLevel="0" collapsed="false">
      <c r="A1085" s="6" t="str">
        <f aca="false">IF('DATA UNIT'!$B56="","",'DATA UNIT'!$B56)</f>
        <v>KT 8918 ZL</v>
      </c>
      <c r="B1085" s="6" t="str">
        <f aca="false">IF($A1085="","",INDEX(PlanningItemsList,4))</f>
        <v>Brake Pad</v>
      </c>
      <c r="C1085" s="7"/>
      <c r="D1085" s="7"/>
    </row>
    <row r="1086" customFormat="false" ht="15" hidden="false" customHeight="false" outlineLevel="0" collapsed="false">
      <c r="A1086" s="6" t="str">
        <f aca="false">IF('DATA UNIT'!$B56="","",'DATA UNIT'!$B56)</f>
        <v>KT 8918 ZL</v>
      </c>
      <c r="B1086" s="6" t="str">
        <f aca="false">IF($A1086="","",INDEX(PlanningItemsList,5))</f>
        <v>Brake Shoe</v>
      </c>
      <c r="C1086" s="7"/>
      <c r="D1086" s="7"/>
    </row>
    <row r="1087" customFormat="false" ht="15" hidden="false" customHeight="false" outlineLevel="0" collapsed="false">
      <c r="A1087" s="6" t="str">
        <f aca="false">IF('DATA UNIT'!$B56="","",'DATA UNIT'!$B56)</f>
        <v>KT 8918 ZL</v>
      </c>
      <c r="B1087" s="6" t="str">
        <f aca="false">IF($A1087="","",INDEX(PlanningItemsList,6))</f>
        <v>Accu</v>
      </c>
      <c r="C1087" s="7"/>
      <c r="D1087" s="7"/>
    </row>
    <row r="1088" customFormat="false" ht="15" hidden="false" customHeight="false" outlineLevel="0" collapsed="false">
      <c r="A1088" s="6" t="str">
        <f aca="false">IF('DATA UNIT'!$B56="","",'DATA UNIT'!$B56)</f>
        <v>KT 8918 ZL</v>
      </c>
      <c r="B1088" s="6" t="str">
        <f aca="false">IF($A1088="","",INDEX(PlanningItemsList,7))</f>
        <v>Kampas Kopling Set</v>
      </c>
      <c r="C1088" s="7"/>
      <c r="D1088" s="7"/>
    </row>
    <row r="1089" customFormat="false" ht="15" hidden="false" customHeight="false" outlineLevel="0" collapsed="false">
      <c r="A1089" s="6" t="str">
        <f aca="false">IF('DATA UNIT'!$B56="","",'DATA UNIT'!$B56)</f>
        <v>KT 8918 ZL</v>
      </c>
      <c r="B1089" s="6" t="str">
        <f aca="false">IF($A1089="","",INDEX(PlanningItemsList,8))</f>
        <v>Wiper Blade</v>
      </c>
      <c r="C1089" s="7"/>
      <c r="D1089" s="7"/>
    </row>
    <row r="1090" customFormat="false" ht="15" hidden="false" customHeight="false" outlineLevel="0" collapsed="false">
      <c r="A1090" s="6" t="str">
        <f aca="false">IF('DATA UNIT'!$B56="","",'DATA UNIT'!$B56)</f>
        <v>KT 8918 ZL</v>
      </c>
      <c r="B1090" s="6" t="str">
        <f aca="false">IF($A1090="","",INDEX(PlanningItemsList,9))</f>
        <v>Ban Depan</v>
      </c>
      <c r="C1090" s="7"/>
      <c r="D1090" s="7"/>
    </row>
    <row r="1091" customFormat="false" ht="15" hidden="false" customHeight="false" outlineLevel="0" collapsed="false">
      <c r="A1091" s="6" t="str">
        <f aca="false">IF('DATA UNIT'!$B56="","",'DATA UNIT'!$B56)</f>
        <v>KT 8918 ZL</v>
      </c>
      <c r="B1091" s="6" t="str">
        <f aca="false">IF($A1091="","",INDEX(PlanningItemsList,10))</f>
        <v>Ban Belakang</v>
      </c>
      <c r="C1091" s="7"/>
      <c r="D1091" s="7"/>
    </row>
    <row r="1092" customFormat="false" ht="15" hidden="false" customHeight="false" outlineLevel="0" collapsed="false">
      <c r="A1092" s="6" t="str">
        <f aca="false">IF('DATA UNIT'!$B56="","",'DATA UNIT'!$B56)</f>
        <v>KT 8918 ZL</v>
      </c>
      <c r="B1092" s="6" t="str">
        <f aca="false">IF($A1092="","",INDEX(PlanningItemsList,11))</f>
        <v>Ban Serep</v>
      </c>
      <c r="C1092" s="7"/>
      <c r="D1092" s="7"/>
    </row>
    <row r="1093" customFormat="false" ht="15" hidden="false" customHeight="false" outlineLevel="0" collapsed="false">
      <c r="A1093" s="6" t="str">
        <f aca="false">IF('DATA UNIT'!$B56="","",'DATA UNIT'!$B56)</f>
        <v>KT 8918 ZL</v>
      </c>
      <c r="B1093" s="6" t="str">
        <f aca="false">IF($A1093="","",INDEX(PlanningItemsList,12))</f>
        <v>Greasing</v>
      </c>
      <c r="C1093" s="7"/>
      <c r="D1093" s="7"/>
    </row>
    <row r="1094" customFormat="false" ht="15" hidden="false" customHeight="false" outlineLevel="0" collapsed="false">
      <c r="A1094" s="6" t="str">
        <f aca="false">IF('DATA UNIT'!$B56="","",'DATA UNIT'!$B56)</f>
        <v>KT 8918 ZL</v>
      </c>
      <c r="B1094" s="6" t="str">
        <f aca="false">IF($A1094="","",INDEX(PlanningItemsList,13))</f>
        <v>V-Belt</v>
      </c>
      <c r="C1094" s="7"/>
      <c r="D1094" s="7"/>
    </row>
    <row r="1095" customFormat="false" ht="15" hidden="false" customHeight="false" outlineLevel="0" collapsed="false">
      <c r="A1095" s="6" t="str">
        <f aca="false">IF('DATA UNIT'!$B56="","",'DATA UNIT'!$B56)</f>
        <v>KT 8918 ZL</v>
      </c>
      <c r="B1095" s="6" t="str">
        <f aca="false">IF($A1095="","",INDEX(PlanningItemsList,14))</f>
        <v>Sarung Jok</v>
      </c>
      <c r="C1095" s="7"/>
      <c r="D1095" s="7"/>
    </row>
    <row r="1096" customFormat="false" ht="15" hidden="false" customHeight="false" outlineLevel="0" collapsed="false">
      <c r="A1096" s="6" t="str">
        <f aca="false">IF('DATA UNIT'!$B56="","",'DATA UNIT'!$B56)</f>
        <v>KT 8918 ZL</v>
      </c>
      <c r="B1096" s="6" t="str">
        <f aca="false">IF($A1096="","",INDEX(PlanningItemsList,15))</f>
        <v>Karpet Karet</v>
      </c>
      <c r="C1096" s="7"/>
      <c r="D1096" s="7"/>
    </row>
    <row r="1097" customFormat="false" ht="15" hidden="false" customHeight="false" outlineLevel="0" collapsed="false">
      <c r="A1097" s="6" t="str">
        <f aca="false">IF('DATA UNIT'!$B56="","",'DATA UNIT'!$B56)</f>
        <v>KT 8918 ZL</v>
      </c>
      <c r="B1097" s="6" t="str">
        <f aca="false">IF($A1097="","",INDEX(PlanningItemsList,16))</f>
        <v>Karpet Dasar</v>
      </c>
      <c r="C1097" s="7"/>
      <c r="D1097" s="7"/>
    </row>
    <row r="1098" customFormat="false" ht="15" hidden="false" customHeight="false" outlineLevel="0" collapsed="false">
      <c r="A1098" s="6" t="str">
        <f aca="false">IF('DATA UNIT'!$B56="","",'DATA UNIT'!$B56)</f>
        <v>KT 8918 ZL</v>
      </c>
      <c r="B1098" s="6" t="str">
        <f aca="false">IF($A1098="","",INDEX(PlanningItemsList,17))</f>
        <v>Flushing Radiator</v>
      </c>
      <c r="C1098" s="7"/>
      <c r="D1098" s="7"/>
    </row>
    <row r="1099" customFormat="false" ht="15" hidden="false" customHeight="false" outlineLevel="0" collapsed="false">
      <c r="A1099" s="6" t="str">
        <f aca="false">IF('DATA UNIT'!$B56="","",'DATA UNIT'!$B56)</f>
        <v>KT 8918 ZL</v>
      </c>
      <c r="B1099" s="6" t="str">
        <f aca="false">IF($A1099="","",INDEX(PlanningItemsList,18))</f>
        <v>Flushing Steering</v>
      </c>
      <c r="C1099" s="7"/>
      <c r="D1099" s="7"/>
    </row>
    <row r="1100" customFormat="false" ht="15" hidden="false" customHeight="false" outlineLevel="0" collapsed="false">
      <c r="A1100" s="6" t="str">
        <f aca="false">IF('DATA UNIT'!$B56="","",'DATA UNIT'!$B56)</f>
        <v>KT 8918 ZL</v>
      </c>
      <c r="B1100" s="6" t="str">
        <f aca="false">IF($A1100="","",INDEX(PlanningItemsList,19))</f>
        <v>Flushing Injector</v>
      </c>
      <c r="C1100" s="7"/>
      <c r="D1100" s="7"/>
    </row>
    <row r="1101" customFormat="false" ht="15" hidden="false" customHeight="false" outlineLevel="0" collapsed="false">
      <c r="A1101" s="6" t="str">
        <f aca="false">IF('DATA UNIT'!$B56="","",'DATA UNIT'!$B56)</f>
        <v>KT 8918 ZL</v>
      </c>
      <c r="B1101" s="6" t="str">
        <f aca="false">IF($A1101="","",INDEX(PlanningItemsList,20))</f>
        <v>Flushing Rem</v>
      </c>
      <c r="C1101" s="7"/>
      <c r="D1101" s="7"/>
    </row>
    <row r="1102" customFormat="false" ht="15" hidden="false" customHeight="false" outlineLevel="0" collapsed="false">
      <c r="A1102" s="6" t="str">
        <f aca="false">IF('DATA UNIT'!$B57="","",'DATA UNIT'!$B57)</f>
        <v>KT 8622 ZN</v>
      </c>
      <c r="B1102" s="6" t="str">
        <f aca="false">IF($A1102="","",INDEX(PlanningItemsList,1))</f>
        <v>PM Check / Reguler Services</v>
      </c>
      <c r="C1102" s="7"/>
      <c r="D1102" s="7"/>
    </row>
    <row r="1103" customFormat="false" ht="15" hidden="false" customHeight="false" outlineLevel="0" collapsed="false">
      <c r="A1103" s="6" t="str">
        <f aca="false">IF('DATA UNIT'!$B57="","",'DATA UNIT'!$B57)</f>
        <v>KT 8622 ZN</v>
      </c>
      <c r="B1103" s="6" t="str">
        <f aca="false">IF($A1103="","",INDEX(PlanningItemsList,2))</f>
        <v>Service A</v>
      </c>
      <c r="C1103" s="7"/>
      <c r="D1103" s="7"/>
    </row>
    <row r="1104" customFormat="false" ht="15" hidden="false" customHeight="false" outlineLevel="0" collapsed="false">
      <c r="A1104" s="6" t="str">
        <f aca="false">IF('DATA UNIT'!$B57="","",'DATA UNIT'!$B57)</f>
        <v>KT 8622 ZN</v>
      </c>
      <c r="B1104" s="6" t="str">
        <f aca="false">IF($A1104="","",INDEX(PlanningItemsList,3))</f>
        <v>Service B</v>
      </c>
      <c r="C1104" s="7"/>
      <c r="D1104" s="7"/>
    </row>
    <row r="1105" customFormat="false" ht="15" hidden="false" customHeight="false" outlineLevel="0" collapsed="false">
      <c r="A1105" s="6" t="str">
        <f aca="false">IF('DATA UNIT'!$B57="","",'DATA UNIT'!$B57)</f>
        <v>KT 8622 ZN</v>
      </c>
      <c r="B1105" s="6" t="str">
        <f aca="false">IF($A1105="","",INDEX(PlanningItemsList,4))</f>
        <v>Brake Pad</v>
      </c>
      <c r="C1105" s="7"/>
      <c r="D1105" s="7"/>
    </row>
    <row r="1106" customFormat="false" ht="15" hidden="false" customHeight="false" outlineLevel="0" collapsed="false">
      <c r="A1106" s="6" t="str">
        <f aca="false">IF('DATA UNIT'!$B57="","",'DATA UNIT'!$B57)</f>
        <v>KT 8622 ZN</v>
      </c>
      <c r="B1106" s="6" t="str">
        <f aca="false">IF($A1106="","",INDEX(PlanningItemsList,5))</f>
        <v>Brake Shoe</v>
      </c>
      <c r="C1106" s="7"/>
      <c r="D1106" s="7"/>
    </row>
    <row r="1107" customFormat="false" ht="15" hidden="false" customHeight="false" outlineLevel="0" collapsed="false">
      <c r="A1107" s="6" t="str">
        <f aca="false">IF('DATA UNIT'!$B57="","",'DATA UNIT'!$B57)</f>
        <v>KT 8622 ZN</v>
      </c>
      <c r="B1107" s="6" t="str">
        <f aca="false">IF($A1107="","",INDEX(PlanningItemsList,6))</f>
        <v>Accu</v>
      </c>
      <c r="C1107" s="7"/>
      <c r="D1107" s="7"/>
    </row>
    <row r="1108" customFormat="false" ht="15" hidden="false" customHeight="false" outlineLevel="0" collapsed="false">
      <c r="A1108" s="6" t="str">
        <f aca="false">IF('DATA UNIT'!$B57="","",'DATA UNIT'!$B57)</f>
        <v>KT 8622 ZN</v>
      </c>
      <c r="B1108" s="6" t="str">
        <f aca="false">IF($A1108="","",INDEX(PlanningItemsList,7))</f>
        <v>Kampas Kopling Set</v>
      </c>
      <c r="C1108" s="7"/>
      <c r="D1108" s="7"/>
    </row>
    <row r="1109" customFormat="false" ht="15" hidden="false" customHeight="false" outlineLevel="0" collapsed="false">
      <c r="A1109" s="6" t="str">
        <f aca="false">IF('DATA UNIT'!$B57="","",'DATA UNIT'!$B57)</f>
        <v>KT 8622 ZN</v>
      </c>
      <c r="B1109" s="6" t="str">
        <f aca="false">IF($A1109="","",INDEX(PlanningItemsList,8))</f>
        <v>Wiper Blade</v>
      </c>
      <c r="C1109" s="7"/>
      <c r="D1109" s="7"/>
    </row>
    <row r="1110" customFormat="false" ht="15" hidden="false" customHeight="false" outlineLevel="0" collapsed="false">
      <c r="A1110" s="6" t="str">
        <f aca="false">IF('DATA UNIT'!$B57="","",'DATA UNIT'!$B57)</f>
        <v>KT 8622 ZN</v>
      </c>
      <c r="B1110" s="6" t="str">
        <f aca="false">IF($A1110="","",INDEX(PlanningItemsList,9))</f>
        <v>Ban Depan</v>
      </c>
      <c r="C1110" s="7"/>
      <c r="D1110" s="7"/>
    </row>
    <row r="1111" customFormat="false" ht="15" hidden="false" customHeight="false" outlineLevel="0" collapsed="false">
      <c r="A1111" s="6" t="str">
        <f aca="false">IF('DATA UNIT'!$B57="","",'DATA UNIT'!$B57)</f>
        <v>KT 8622 ZN</v>
      </c>
      <c r="B1111" s="6" t="str">
        <f aca="false">IF($A1111="","",INDEX(PlanningItemsList,10))</f>
        <v>Ban Belakang</v>
      </c>
      <c r="C1111" s="7"/>
      <c r="D1111" s="7"/>
    </row>
    <row r="1112" customFormat="false" ht="15" hidden="false" customHeight="false" outlineLevel="0" collapsed="false">
      <c r="A1112" s="6" t="str">
        <f aca="false">IF('DATA UNIT'!$B57="","",'DATA UNIT'!$B57)</f>
        <v>KT 8622 ZN</v>
      </c>
      <c r="B1112" s="6" t="str">
        <f aca="false">IF($A1112="","",INDEX(PlanningItemsList,11))</f>
        <v>Ban Serep</v>
      </c>
      <c r="C1112" s="7"/>
      <c r="D1112" s="7"/>
    </row>
    <row r="1113" customFormat="false" ht="15" hidden="false" customHeight="false" outlineLevel="0" collapsed="false">
      <c r="A1113" s="6" t="str">
        <f aca="false">IF('DATA UNIT'!$B57="","",'DATA UNIT'!$B57)</f>
        <v>KT 8622 ZN</v>
      </c>
      <c r="B1113" s="6" t="str">
        <f aca="false">IF($A1113="","",INDEX(PlanningItemsList,12))</f>
        <v>Greasing</v>
      </c>
      <c r="C1113" s="7"/>
      <c r="D1113" s="7"/>
    </row>
    <row r="1114" customFormat="false" ht="15" hidden="false" customHeight="false" outlineLevel="0" collapsed="false">
      <c r="A1114" s="6" t="str">
        <f aca="false">IF('DATA UNIT'!$B57="","",'DATA UNIT'!$B57)</f>
        <v>KT 8622 ZN</v>
      </c>
      <c r="B1114" s="6" t="str">
        <f aca="false">IF($A1114="","",INDEX(PlanningItemsList,13))</f>
        <v>V-Belt</v>
      </c>
      <c r="C1114" s="7"/>
      <c r="D1114" s="7"/>
    </row>
    <row r="1115" customFormat="false" ht="15" hidden="false" customHeight="false" outlineLevel="0" collapsed="false">
      <c r="A1115" s="6" t="str">
        <f aca="false">IF('DATA UNIT'!$B57="","",'DATA UNIT'!$B57)</f>
        <v>KT 8622 ZN</v>
      </c>
      <c r="B1115" s="6" t="str">
        <f aca="false">IF($A1115="","",INDEX(PlanningItemsList,14))</f>
        <v>Sarung Jok</v>
      </c>
      <c r="C1115" s="7"/>
      <c r="D1115" s="7"/>
    </row>
    <row r="1116" customFormat="false" ht="15" hidden="false" customHeight="false" outlineLevel="0" collapsed="false">
      <c r="A1116" s="6" t="str">
        <f aca="false">IF('DATA UNIT'!$B57="","",'DATA UNIT'!$B57)</f>
        <v>KT 8622 ZN</v>
      </c>
      <c r="B1116" s="6" t="str">
        <f aca="false">IF($A1116="","",INDEX(PlanningItemsList,15))</f>
        <v>Karpet Karet</v>
      </c>
      <c r="C1116" s="7"/>
      <c r="D1116" s="7"/>
    </row>
    <row r="1117" customFormat="false" ht="15" hidden="false" customHeight="false" outlineLevel="0" collapsed="false">
      <c r="A1117" s="6" t="str">
        <f aca="false">IF('DATA UNIT'!$B57="","",'DATA UNIT'!$B57)</f>
        <v>KT 8622 ZN</v>
      </c>
      <c r="B1117" s="6" t="str">
        <f aca="false">IF($A1117="","",INDEX(PlanningItemsList,16))</f>
        <v>Karpet Dasar</v>
      </c>
      <c r="C1117" s="7"/>
      <c r="D1117" s="7"/>
    </row>
    <row r="1118" customFormat="false" ht="15" hidden="false" customHeight="false" outlineLevel="0" collapsed="false">
      <c r="A1118" s="6" t="str">
        <f aca="false">IF('DATA UNIT'!$B57="","",'DATA UNIT'!$B57)</f>
        <v>KT 8622 ZN</v>
      </c>
      <c r="B1118" s="6" t="str">
        <f aca="false">IF($A1118="","",INDEX(PlanningItemsList,17))</f>
        <v>Flushing Radiator</v>
      </c>
      <c r="C1118" s="7"/>
      <c r="D1118" s="7"/>
    </row>
    <row r="1119" customFormat="false" ht="15" hidden="false" customHeight="false" outlineLevel="0" collapsed="false">
      <c r="A1119" s="6" t="str">
        <f aca="false">IF('DATA UNIT'!$B57="","",'DATA UNIT'!$B57)</f>
        <v>KT 8622 ZN</v>
      </c>
      <c r="B1119" s="6" t="str">
        <f aca="false">IF($A1119="","",INDEX(PlanningItemsList,18))</f>
        <v>Flushing Steering</v>
      </c>
      <c r="C1119" s="7"/>
      <c r="D1119" s="7"/>
    </row>
    <row r="1120" customFormat="false" ht="15" hidden="false" customHeight="false" outlineLevel="0" collapsed="false">
      <c r="A1120" s="6" t="str">
        <f aca="false">IF('DATA UNIT'!$B57="","",'DATA UNIT'!$B57)</f>
        <v>KT 8622 ZN</v>
      </c>
      <c r="B1120" s="6" t="str">
        <f aca="false">IF($A1120="","",INDEX(PlanningItemsList,19))</f>
        <v>Flushing Injector</v>
      </c>
      <c r="C1120" s="7"/>
      <c r="D1120" s="7"/>
    </row>
    <row r="1121" customFormat="false" ht="15" hidden="false" customHeight="false" outlineLevel="0" collapsed="false">
      <c r="A1121" s="6" t="str">
        <f aca="false">IF('DATA UNIT'!$B57="","",'DATA UNIT'!$B57)</f>
        <v>KT 8622 ZN</v>
      </c>
      <c r="B1121" s="6" t="str">
        <f aca="false">IF($A1121="","",INDEX(PlanningItemsList,20))</f>
        <v>Flushing Rem</v>
      </c>
      <c r="C1121" s="7"/>
      <c r="D1121" s="7"/>
    </row>
    <row r="1122" customFormat="false" ht="15" hidden="false" customHeight="false" outlineLevel="0" collapsed="false">
      <c r="A1122" s="6" t="str">
        <f aca="false">IF('DATA UNIT'!$B58="","",'DATA UNIT'!$B58)</f>
        <v>KT 8832 YQ</v>
      </c>
      <c r="B1122" s="6" t="str">
        <f aca="false">IF($A1122="","",INDEX(PlanningItemsList,1))</f>
        <v>PM Check / Reguler Services</v>
      </c>
      <c r="C1122" s="7"/>
      <c r="D1122" s="7"/>
    </row>
    <row r="1123" customFormat="false" ht="15" hidden="false" customHeight="false" outlineLevel="0" collapsed="false">
      <c r="A1123" s="6" t="str">
        <f aca="false">IF('DATA UNIT'!$B58="","",'DATA UNIT'!$B58)</f>
        <v>KT 8832 YQ</v>
      </c>
      <c r="B1123" s="6" t="str">
        <f aca="false">IF($A1123="","",INDEX(PlanningItemsList,2))</f>
        <v>Service A</v>
      </c>
      <c r="C1123" s="7"/>
      <c r="D1123" s="7"/>
    </row>
    <row r="1124" customFormat="false" ht="15" hidden="false" customHeight="false" outlineLevel="0" collapsed="false">
      <c r="A1124" s="6" t="str">
        <f aca="false">IF('DATA UNIT'!$B58="","",'DATA UNIT'!$B58)</f>
        <v>KT 8832 YQ</v>
      </c>
      <c r="B1124" s="6" t="str">
        <f aca="false">IF($A1124="","",INDEX(PlanningItemsList,3))</f>
        <v>Service B</v>
      </c>
      <c r="C1124" s="7"/>
      <c r="D1124" s="7"/>
    </row>
    <row r="1125" customFormat="false" ht="15" hidden="false" customHeight="false" outlineLevel="0" collapsed="false">
      <c r="A1125" s="6" t="str">
        <f aca="false">IF('DATA UNIT'!$B58="","",'DATA UNIT'!$B58)</f>
        <v>KT 8832 YQ</v>
      </c>
      <c r="B1125" s="6" t="str">
        <f aca="false">IF($A1125="","",INDEX(PlanningItemsList,4))</f>
        <v>Brake Pad</v>
      </c>
      <c r="C1125" s="7"/>
      <c r="D1125" s="7"/>
    </row>
    <row r="1126" customFormat="false" ht="15" hidden="false" customHeight="false" outlineLevel="0" collapsed="false">
      <c r="A1126" s="6" t="str">
        <f aca="false">IF('DATA UNIT'!$B58="","",'DATA UNIT'!$B58)</f>
        <v>KT 8832 YQ</v>
      </c>
      <c r="B1126" s="6" t="str">
        <f aca="false">IF($A1126="","",INDEX(PlanningItemsList,5))</f>
        <v>Brake Shoe</v>
      </c>
      <c r="C1126" s="7"/>
      <c r="D1126" s="7"/>
    </row>
    <row r="1127" customFormat="false" ht="15" hidden="false" customHeight="false" outlineLevel="0" collapsed="false">
      <c r="A1127" s="6" t="str">
        <f aca="false">IF('DATA UNIT'!$B58="","",'DATA UNIT'!$B58)</f>
        <v>KT 8832 YQ</v>
      </c>
      <c r="B1127" s="6" t="str">
        <f aca="false">IF($A1127="","",INDEX(PlanningItemsList,6))</f>
        <v>Accu</v>
      </c>
      <c r="C1127" s="7"/>
      <c r="D1127" s="7"/>
    </row>
    <row r="1128" customFormat="false" ht="15" hidden="false" customHeight="false" outlineLevel="0" collapsed="false">
      <c r="A1128" s="6" t="str">
        <f aca="false">IF('DATA UNIT'!$B58="","",'DATA UNIT'!$B58)</f>
        <v>KT 8832 YQ</v>
      </c>
      <c r="B1128" s="6" t="str">
        <f aca="false">IF($A1128="","",INDEX(PlanningItemsList,7))</f>
        <v>Kampas Kopling Set</v>
      </c>
      <c r="C1128" s="7"/>
      <c r="D1128" s="7"/>
    </row>
    <row r="1129" customFormat="false" ht="15" hidden="false" customHeight="false" outlineLevel="0" collapsed="false">
      <c r="A1129" s="6" t="str">
        <f aca="false">IF('DATA UNIT'!$B58="","",'DATA UNIT'!$B58)</f>
        <v>KT 8832 YQ</v>
      </c>
      <c r="B1129" s="6" t="str">
        <f aca="false">IF($A1129="","",INDEX(PlanningItemsList,8))</f>
        <v>Wiper Blade</v>
      </c>
      <c r="C1129" s="7"/>
      <c r="D1129" s="7"/>
    </row>
    <row r="1130" customFormat="false" ht="15" hidden="false" customHeight="false" outlineLevel="0" collapsed="false">
      <c r="A1130" s="6" t="str">
        <f aca="false">IF('DATA UNIT'!$B58="","",'DATA UNIT'!$B58)</f>
        <v>KT 8832 YQ</v>
      </c>
      <c r="B1130" s="6" t="str">
        <f aca="false">IF($A1130="","",INDEX(PlanningItemsList,9))</f>
        <v>Ban Depan</v>
      </c>
      <c r="C1130" s="7"/>
      <c r="D1130" s="7"/>
    </row>
    <row r="1131" customFormat="false" ht="15" hidden="false" customHeight="false" outlineLevel="0" collapsed="false">
      <c r="A1131" s="6" t="str">
        <f aca="false">IF('DATA UNIT'!$B58="","",'DATA UNIT'!$B58)</f>
        <v>KT 8832 YQ</v>
      </c>
      <c r="B1131" s="6" t="str">
        <f aca="false">IF($A1131="","",INDEX(PlanningItemsList,10))</f>
        <v>Ban Belakang</v>
      </c>
      <c r="C1131" s="7"/>
      <c r="D1131" s="7"/>
    </row>
    <row r="1132" customFormat="false" ht="15" hidden="false" customHeight="false" outlineLevel="0" collapsed="false">
      <c r="A1132" s="6" t="str">
        <f aca="false">IF('DATA UNIT'!$B58="","",'DATA UNIT'!$B58)</f>
        <v>KT 8832 YQ</v>
      </c>
      <c r="B1132" s="6" t="str">
        <f aca="false">IF($A1132="","",INDEX(PlanningItemsList,11))</f>
        <v>Ban Serep</v>
      </c>
      <c r="C1132" s="7"/>
      <c r="D1132" s="7"/>
    </row>
    <row r="1133" customFormat="false" ht="15" hidden="false" customHeight="false" outlineLevel="0" collapsed="false">
      <c r="A1133" s="6" t="str">
        <f aca="false">IF('DATA UNIT'!$B58="","",'DATA UNIT'!$B58)</f>
        <v>KT 8832 YQ</v>
      </c>
      <c r="B1133" s="6" t="str">
        <f aca="false">IF($A1133="","",INDEX(PlanningItemsList,12))</f>
        <v>Greasing</v>
      </c>
      <c r="C1133" s="7"/>
      <c r="D1133" s="7"/>
    </row>
    <row r="1134" customFormat="false" ht="15" hidden="false" customHeight="false" outlineLevel="0" collapsed="false">
      <c r="A1134" s="6" t="str">
        <f aca="false">IF('DATA UNIT'!$B58="","",'DATA UNIT'!$B58)</f>
        <v>KT 8832 YQ</v>
      </c>
      <c r="B1134" s="6" t="str">
        <f aca="false">IF($A1134="","",INDEX(PlanningItemsList,13))</f>
        <v>V-Belt</v>
      </c>
      <c r="C1134" s="7"/>
      <c r="D1134" s="7"/>
    </row>
    <row r="1135" customFormat="false" ht="15" hidden="false" customHeight="false" outlineLevel="0" collapsed="false">
      <c r="A1135" s="6" t="str">
        <f aca="false">IF('DATA UNIT'!$B58="","",'DATA UNIT'!$B58)</f>
        <v>KT 8832 YQ</v>
      </c>
      <c r="B1135" s="6" t="str">
        <f aca="false">IF($A1135="","",INDEX(PlanningItemsList,14))</f>
        <v>Sarung Jok</v>
      </c>
      <c r="C1135" s="7"/>
      <c r="D1135" s="7"/>
    </row>
    <row r="1136" customFormat="false" ht="15" hidden="false" customHeight="false" outlineLevel="0" collapsed="false">
      <c r="A1136" s="6" t="str">
        <f aca="false">IF('DATA UNIT'!$B58="","",'DATA UNIT'!$B58)</f>
        <v>KT 8832 YQ</v>
      </c>
      <c r="B1136" s="6" t="str">
        <f aca="false">IF($A1136="","",INDEX(PlanningItemsList,15))</f>
        <v>Karpet Karet</v>
      </c>
      <c r="C1136" s="7"/>
      <c r="D1136" s="7"/>
    </row>
    <row r="1137" customFormat="false" ht="15" hidden="false" customHeight="false" outlineLevel="0" collapsed="false">
      <c r="A1137" s="6" t="str">
        <f aca="false">IF('DATA UNIT'!$B58="","",'DATA UNIT'!$B58)</f>
        <v>KT 8832 YQ</v>
      </c>
      <c r="B1137" s="6" t="str">
        <f aca="false">IF($A1137="","",INDEX(PlanningItemsList,16))</f>
        <v>Karpet Dasar</v>
      </c>
      <c r="C1137" s="7"/>
      <c r="D1137" s="7"/>
    </row>
    <row r="1138" customFormat="false" ht="15" hidden="false" customHeight="false" outlineLevel="0" collapsed="false">
      <c r="A1138" s="6" t="str">
        <f aca="false">IF('DATA UNIT'!$B58="","",'DATA UNIT'!$B58)</f>
        <v>KT 8832 YQ</v>
      </c>
      <c r="B1138" s="6" t="str">
        <f aca="false">IF($A1138="","",INDEX(PlanningItemsList,17))</f>
        <v>Flushing Radiator</v>
      </c>
      <c r="C1138" s="7"/>
      <c r="D1138" s="7"/>
    </row>
    <row r="1139" customFormat="false" ht="15" hidden="false" customHeight="false" outlineLevel="0" collapsed="false">
      <c r="A1139" s="6" t="str">
        <f aca="false">IF('DATA UNIT'!$B58="","",'DATA UNIT'!$B58)</f>
        <v>KT 8832 YQ</v>
      </c>
      <c r="B1139" s="6" t="str">
        <f aca="false">IF($A1139="","",INDEX(PlanningItemsList,18))</f>
        <v>Flushing Steering</v>
      </c>
      <c r="C1139" s="7"/>
      <c r="D1139" s="7"/>
    </row>
    <row r="1140" customFormat="false" ht="15" hidden="false" customHeight="false" outlineLevel="0" collapsed="false">
      <c r="A1140" s="6" t="str">
        <f aca="false">IF('DATA UNIT'!$B58="","",'DATA UNIT'!$B58)</f>
        <v>KT 8832 YQ</v>
      </c>
      <c r="B1140" s="6" t="str">
        <f aca="false">IF($A1140="","",INDEX(PlanningItemsList,19))</f>
        <v>Flushing Injector</v>
      </c>
      <c r="C1140" s="7"/>
      <c r="D1140" s="7"/>
    </row>
    <row r="1141" customFormat="false" ht="15" hidden="false" customHeight="false" outlineLevel="0" collapsed="false">
      <c r="A1141" s="6" t="str">
        <f aca="false">IF('DATA UNIT'!$B58="","",'DATA UNIT'!$B58)</f>
        <v>KT 8832 YQ</v>
      </c>
      <c r="B1141" s="6" t="str">
        <f aca="false">IF($A1141="","",INDEX(PlanningItemsList,20))</f>
        <v>Flushing Rem</v>
      </c>
      <c r="C1141" s="7"/>
      <c r="D1141" s="7"/>
    </row>
    <row r="1142" customFormat="false" ht="15" hidden="false" customHeight="false" outlineLevel="0" collapsed="false">
      <c r="A1142" s="6" t="str">
        <f aca="false">IF('DATA UNIT'!$B59="","",'DATA UNIT'!$B59)</f>
        <v>KT 8943 ZE</v>
      </c>
      <c r="B1142" s="6" t="str">
        <f aca="false">IF($A1142="","",INDEX(PlanningItemsList,1))</f>
        <v>PM Check / Reguler Services</v>
      </c>
      <c r="C1142" s="7"/>
      <c r="D1142" s="7"/>
    </row>
    <row r="1143" customFormat="false" ht="15" hidden="false" customHeight="false" outlineLevel="0" collapsed="false">
      <c r="A1143" s="6" t="str">
        <f aca="false">IF('DATA UNIT'!$B59="","",'DATA UNIT'!$B59)</f>
        <v>KT 8943 ZE</v>
      </c>
      <c r="B1143" s="6" t="str">
        <f aca="false">IF($A1143="","",INDEX(PlanningItemsList,2))</f>
        <v>Service A</v>
      </c>
      <c r="C1143" s="7"/>
      <c r="D1143" s="7"/>
    </row>
    <row r="1144" customFormat="false" ht="15" hidden="false" customHeight="false" outlineLevel="0" collapsed="false">
      <c r="A1144" s="6" t="str">
        <f aca="false">IF('DATA UNIT'!$B59="","",'DATA UNIT'!$B59)</f>
        <v>KT 8943 ZE</v>
      </c>
      <c r="B1144" s="6" t="str">
        <f aca="false">IF($A1144="","",INDEX(PlanningItemsList,3))</f>
        <v>Service B</v>
      </c>
      <c r="C1144" s="7"/>
      <c r="D1144" s="7"/>
    </row>
    <row r="1145" customFormat="false" ht="15" hidden="false" customHeight="false" outlineLevel="0" collapsed="false">
      <c r="A1145" s="6" t="str">
        <f aca="false">IF('DATA UNIT'!$B59="","",'DATA UNIT'!$B59)</f>
        <v>KT 8943 ZE</v>
      </c>
      <c r="B1145" s="6" t="str">
        <f aca="false">IF($A1145="","",INDEX(PlanningItemsList,4))</f>
        <v>Brake Pad</v>
      </c>
      <c r="C1145" s="7"/>
      <c r="D1145" s="7"/>
    </row>
    <row r="1146" customFormat="false" ht="15" hidden="false" customHeight="false" outlineLevel="0" collapsed="false">
      <c r="A1146" s="6" t="str">
        <f aca="false">IF('DATA UNIT'!$B59="","",'DATA UNIT'!$B59)</f>
        <v>KT 8943 ZE</v>
      </c>
      <c r="B1146" s="6" t="str">
        <f aca="false">IF($A1146="","",INDEX(PlanningItemsList,5))</f>
        <v>Brake Shoe</v>
      </c>
      <c r="C1146" s="7"/>
      <c r="D1146" s="7"/>
    </row>
    <row r="1147" customFormat="false" ht="15" hidden="false" customHeight="false" outlineLevel="0" collapsed="false">
      <c r="A1147" s="6" t="str">
        <f aca="false">IF('DATA UNIT'!$B59="","",'DATA UNIT'!$B59)</f>
        <v>KT 8943 ZE</v>
      </c>
      <c r="B1147" s="6" t="str">
        <f aca="false">IF($A1147="","",INDEX(PlanningItemsList,6))</f>
        <v>Accu</v>
      </c>
      <c r="C1147" s="7"/>
      <c r="D1147" s="7"/>
    </row>
    <row r="1148" customFormat="false" ht="15" hidden="false" customHeight="false" outlineLevel="0" collapsed="false">
      <c r="A1148" s="6" t="str">
        <f aca="false">IF('DATA UNIT'!$B59="","",'DATA UNIT'!$B59)</f>
        <v>KT 8943 ZE</v>
      </c>
      <c r="B1148" s="6" t="str">
        <f aca="false">IF($A1148="","",INDEX(PlanningItemsList,7))</f>
        <v>Kampas Kopling Set</v>
      </c>
      <c r="C1148" s="7"/>
      <c r="D1148" s="7"/>
    </row>
    <row r="1149" customFormat="false" ht="15" hidden="false" customHeight="false" outlineLevel="0" collapsed="false">
      <c r="A1149" s="6" t="str">
        <f aca="false">IF('DATA UNIT'!$B59="","",'DATA UNIT'!$B59)</f>
        <v>KT 8943 ZE</v>
      </c>
      <c r="B1149" s="6" t="str">
        <f aca="false">IF($A1149="","",INDEX(PlanningItemsList,8))</f>
        <v>Wiper Blade</v>
      </c>
      <c r="C1149" s="7"/>
      <c r="D1149" s="7"/>
    </row>
    <row r="1150" customFormat="false" ht="15" hidden="false" customHeight="false" outlineLevel="0" collapsed="false">
      <c r="A1150" s="6" t="str">
        <f aca="false">IF('DATA UNIT'!$B59="","",'DATA UNIT'!$B59)</f>
        <v>KT 8943 ZE</v>
      </c>
      <c r="B1150" s="6" t="str">
        <f aca="false">IF($A1150="","",INDEX(PlanningItemsList,9))</f>
        <v>Ban Depan</v>
      </c>
      <c r="C1150" s="7"/>
      <c r="D1150" s="7"/>
    </row>
    <row r="1151" customFormat="false" ht="15" hidden="false" customHeight="false" outlineLevel="0" collapsed="false">
      <c r="A1151" s="6" t="str">
        <f aca="false">IF('DATA UNIT'!$B59="","",'DATA UNIT'!$B59)</f>
        <v>KT 8943 ZE</v>
      </c>
      <c r="B1151" s="6" t="str">
        <f aca="false">IF($A1151="","",INDEX(PlanningItemsList,10))</f>
        <v>Ban Belakang</v>
      </c>
      <c r="C1151" s="7"/>
      <c r="D1151" s="7"/>
    </row>
    <row r="1152" customFormat="false" ht="15" hidden="false" customHeight="false" outlineLevel="0" collapsed="false">
      <c r="A1152" s="6" t="str">
        <f aca="false">IF('DATA UNIT'!$B59="","",'DATA UNIT'!$B59)</f>
        <v>KT 8943 ZE</v>
      </c>
      <c r="B1152" s="6" t="str">
        <f aca="false">IF($A1152="","",INDEX(PlanningItemsList,11))</f>
        <v>Ban Serep</v>
      </c>
      <c r="C1152" s="7"/>
      <c r="D1152" s="7"/>
    </row>
    <row r="1153" customFormat="false" ht="15" hidden="false" customHeight="false" outlineLevel="0" collapsed="false">
      <c r="A1153" s="6" t="str">
        <f aca="false">IF('DATA UNIT'!$B59="","",'DATA UNIT'!$B59)</f>
        <v>KT 8943 ZE</v>
      </c>
      <c r="B1153" s="6" t="str">
        <f aca="false">IF($A1153="","",INDEX(PlanningItemsList,12))</f>
        <v>Greasing</v>
      </c>
      <c r="C1153" s="7"/>
      <c r="D1153" s="7"/>
    </row>
    <row r="1154" customFormat="false" ht="15" hidden="false" customHeight="false" outlineLevel="0" collapsed="false">
      <c r="A1154" s="6" t="str">
        <f aca="false">IF('DATA UNIT'!$B59="","",'DATA UNIT'!$B59)</f>
        <v>KT 8943 ZE</v>
      </c>
      <c r="B1154" s="6" t="str">
        <f aca="false">IF($A1154="","",INDEX(PlanningItemsList,13))</f>
        <v>V-Belt</v>
      </c>
      <c r="C1154" s="7"/>
      <c r="D1154" s="7"/>
    </row>
    <row r="1155" customFormat="false" ht="15" hidden="false" customHeight="false" outlineLevel="0" collapsed="false">
      <c r="A1155" s="6" t="str">
        <f aca="false">IF('DATA UNIT'!$B59="","",'DATA UNIT'!$B59)</f>
        <v>KT 8943 ZE</v>
      </c>
      <c r="B1155" s="6" t="str">
        <f aca="false">IF($A1155="","",INDEX(PlanningItemsList,14))</f>
        <v>Sarung Jok</v>
      </c>
      <c r="C1155" s="7"/>
      <c r="D1155" s="7"/>
    </row>
    <row r="1156" customFormat="false" ht="15" hidden="false" customHeight="false" outlineLevel="0" collapsed="false">
      <c r="A1156" s="6" t="str">
        <f aca="false">IF('DATA UNIT'!$B59="","",'DATA UNIT'!$B59)</f>
        <v>KT 8943 ZE</v>
      </c>
      <c r="B1156" s="6" t="str">
        <f aca="false">IF($A1156="","",INDEX(PlanningItemsList,15))</f>
        <v>Karpet Karet</v>
      </c>
      <c r="C1156" s="7"/>
      <c r="D1156" s="7"/>
    </row>
    <row r="1157" customFormat="false" ht="15" hidden="false" customHeight="false" outlineLevel="0" collapsed="false">
      <c r="A1157" s="6" t="str">
        <f aca="false">IF('DATA UNIT'!$B59="","",'DATA UNIT'!$B59)</f>
        <v>KT 8943 ZE</v>
      </c>
      <c r="B1157" s="6" t="str">
        <f aca="false">IF($A1157="","",INDEX(PlanningItemsList,16))</f>
        <v>Karpet Dasar</v>
      </c>
      <c r="C1157" s="7"/>
      <c r="D1157" s="7"/>
    </row>
    <row r="1158" customFormat="false" ht="15" hidden="false" customHeight="false" outlineLevel="0" collapsed="false">
      <c r="A1158" s="6" t="str">
        <f aca="false">IF('DATA UNIT'!$B59="","",'DATA UNIT'!$B59)</f>
        <v>KT 8943 ZE</v>
      </c>
      <c r="B1158" s="6" t="str">
        <f aca="false">IF($A1158="","",INDEX(PlanningItemsList,17))</f>
        <v>Flushing Radiator</v>
      </c>
      <c r="C1158" s="7"/>
      <c r="D1158" s="7"/>
    </row>
    <row r="1159" customFormat="false" ht="15" hidden="false" customHeight="false" outlineLevel="0" collapsed="false">
      <c r="A1159" s="6" t="str">
        <f aca="false">IF('DATA UNIT'!$B59="","",'DATA UNIT'!$B59)</f>
        <v>KT 8943 ZE</v>
      </c>
      <c r="B1159" s="6" t="str">
        <f aca="false">IF($A1159="","",INDEX(PlanningItemsList,18))</f>
        <v>Flushing Steering</v>
      </c>
      <c r="C1159" s="7"/>
      <c r="D1159" s="7"/>
    </row>
    <row r="1160" customFormat="false" ht="15" hidden="false" customHeight="false" outlineLevel="0" collapsed="false">
      <c r="A1160" s="6" t="str">
        <f aca="false">IF('DATA UNIT'!$B59="","",'DATA UNIT'!$B59)</f>
        <v>KT 8943 ZE</v>
      </c>
      <c r="B1160" s="6" t="str">
        <f aca="false">IF($A1160="","",INDEX(PlanningItemsList,19))</f>
        <v>Flushing Injector</v>
      </c>
      <c r="C1160" s="7"/>
      <c r="D1160" s="7"/>
    </row>
    <row r="1161" customFormat="false" ht="15" hidden="false" customHeight="false" outlineLevel="0" collapsed="false">
      <c r="A1161" s="6" t="str">
        <f aca="false">IF('DATA UNIT'!$B59="","",'DATA UNIT'!$B59)</f>
        <v>KT 8943 ZE</v>
      </c>
      <c r="B1161" s="6" t="str">
        <f aca="false">IF($A1161="","",INDEX(PlanningItemsList,20))</f>
        <v>Flushing Rem</v>
      </c>
      <c r="C1161" s="7"/>
      <c r="D1161" s="7"/>
    </row>
    <row r="1162" customFormat="false" ht="15" hidden="false" customHeight="false" outlineLevel="0" collapsed="false">
      <c r="A1162" s="6" t="str">
        <f aca="false">IF('DATA UNIT'!$B60="","",'DATA UNIT'!$B60)</f>
        <v>KT 8167 ZA</v>
      </c>
      <c r="B1162" s="6" t="str">
        <f aca="false">IF($A1162="","",INDEX(PlanningItemsList,1))</f>
        <v>PM Check / Reguler Services</v>
      </c>
      <c r="C1162" s="7"/>
      <c r="D1162" s="7"/>
    </row>
    <row r="1163" customFormat="false" ht="15" hidden="false" customHeight="false" outlineLevel="0" collapsed="false">
      <c r="A1163" s="6" t="str">
        <f aca="false">IF('DATA UNIT'!$B60="","",'DATA UNIT'!$B60)</f>
        <v>KT 8167 ZA</v>
      </c>
      <c r="B1163" s="6" t="str">
        <f aca="false">IF($A1163="","",INDEX(PlanningItemsList,2))</f>
        <v>Service A</v>
      </c>
      <c r="C1163" s="7"/>
      <c r="D1163" s="7"/>
    </row>
    <row r="1164" customFormat="false" ht="15" hidden="false" customHeight="false" outlineLevel="0" collapsed="false">
      <c r="A1164" s="6" t="str">
        <f aca="false">IF('DATA UNIT'!$B60="","",'DATA UNIT'!$B60)</f>
        <v>KT 8167 ZA</v>
      </c>
      <c r="B1164" s="6" t="str">
        <f aca="false">IF($A1164="","",INDEX(PlanningItemsList,3))</f>
        <v>Service B</v>
      </c>
      <c r="C1164" s="7"/>
      <c r="D1164" s="7"/>
    </row>
    <row r="1165" customFormat="false" ht="15" hidden="false" customHeight="false" outlineLevel="0" collapsed="false">
      <c r="A1165" s="6" t="str">
        <f aca="false">IF('DATA UNIT'!$B60="","",'DATA UNIT'!$B60)</f>
        <v>KT 8167 ZA</v>
      </c>
      <c r="B1165" s="6" t="str">
        <f aca="false">IF($A1165="","",INDEX(PlanningItemsList,4))</f>
        <v>Brake Pad</v>
      </c>
      <c r="C1165" s="7"/>
      <c r="D1165" s="7"/>
    </row>
    <row r="1166" customFormat="false" ht="15" hidden="false" customHeight="false" outlineLevel="0" collapsed="false">
      <c r="A1166" s="6" t="str">
        <f aca="false">IF('DATA UNIT'!$B60="","",'DATA UNIT'!$B60)</f>
        <v>KT 8167 ZA</v>
      </c>
      <c r="B1166" s="6" t="str">
        <f aca="false">IF($A1166="","",INDEX(PlanningItemsList,5))</f>
        <v>Brake Shoe</v>
      </c>
      <c r="C1166" s="7"/>
      <c r="D1166" s="7"/>
    </row>
    <row r="1167" customFormat="false" ht="15" hidden="false" customHeight="false" outlineLevel="0" collapsed="false">
      <c r="A1167" s="6" t="str">
        <f aca="false">IF('DATA UNIT'!$B60="","",'DATA UNIT'!$B60)</f>
        <v>KT 8167 ZA</v>
      </c>
      <c r="B1167" s="6" t="str">
        <f aca="false">IF($A1167="","",INDEX(PlanningItemsList,6))</f>
        <v>Accu</v>
      </c>
      <c r="C1167" s="7"/>
      <c r="D1167" s="7"/>
    </row>
    <row r="1168" customFormat="false" ht="15" hidden="false" customHeight="false" outlineLevel="0" collapsed="false">
      <c r="A1168" s="6" t="str">
        <f aca="false">IF('DATA UNIT'!$B60="","",'DATA UNIT'!$B60)</f>
        <v>KT 8167 ZA</v>
      </c>
      <c r="B1168" s="6" t="str">
        <f aca="false">IF($A1168="","",INDEX(PlanningItemsList,7))</f>
        <v>Kampas Kopling Set</v>
      </c>
      <c r="C1168" s="7"/>
      <c r="D1168" s="7"/>
    </row>
    <row r="1169" customFormat="false" ht="15" hidden="false" customHeight="false" outlineLevel="0" collapsed="false">
      <c r="A1169" s="6" t="str">
        <f aca="false">IF('DATA UNIT'!$B60="","",'DATA UNIT'!$B60)</f>
        <v>KT 8167 ZA</v>
      </c>
      <c r="B1169" s="6" t="str">
        <f aca="false">IF($A1169="","",INDEX(PlanningItemsList,8))</f>
        <v>Wiper Blade</v>
      </c>
      <c r="C1169" s="7"/>
      <c r="D1169" s="7"/>
    </row>
    <row r="1170" customFormat="false" ht="15" hidden="false" customHeight="false" outlineLevel="0" collapsed="false">
      <c r="A1170" s="6" t="str">
        <f aca="false">IF('DATA UNIT'!$B60="","",'DATA UNIT'!$B60)</f>
        <v>KT 8167 ZA</v>
      </c>
      <c r="B1170" s="6" t="str">
        <f aca="false">IF($A1170="","",INDEX(PlanningItemsList,9))</f>
        <v>Ban Depan</v>
      </c>
      <c r="C1170" s="7"/>
      <c r="D1170" s="7"/>
    </row>
    <row r="1171" customFormat="false" ht="15" hidden="false" customHeight="false" outlineLevel="0" collapsed="false">
      <c r="A1171" s="6" t="str">
        <f aca="false">IF('DATA UNIT'!$B60="","",'DATA UNIT'!$B60)</f>
        <v>KT 8167 ZA</v>
      </c>
      <c r="B1171" s="6" t="str">
        <f aca="false">IF($A1171="","",INDEX(PlanningItemsList,10))</f>
        <v>Ban Belakang</v>
      </c>
      <c r="C1171" s="7"/>
      <c r="D1171" s="7"/>
    </row>
    <row r="1172" customFormat="false" ht="15" hidden="false" customHeight="false" outlineLevel="0" collapsed="false">
      <c r="A1172" s="6" t="str">
        <f aca="false">IF('DATA UNIT'!$B60="","",'DATA UNIT'!$B60)</f>
        <v>KT 8167 ZA</v>
      </c>
      <c r="B1172" s="6" t="str">
        <f aca="false">IF($A1172="","",INDEX(PlanningItemsList,11))</f>
        <v>Ban Serep</v>
      </c>
      <c r="C1172" s="7"/>
      <c r="D1172" s="7"/>
    </row>
    <row r="1173" customFormat="false" ht="15" hidden="false" customHeight="false" outlineLevel="0" collapsed="false">
      <c r="A1173" s="6" t="str">
        <f aca="false">IF('DATA UNIT'!$B60="","",'DATA UNIT'!$B60)</f>
        <v>KT 8167 ZA</v>
      </c>
      <c r="B1173" s="6" t="str">
        <f aca="false">IF($A1173="","",INDEX(PlanningItemsList,12))</f>
        <v>Greasing</v>
      </c>
      <c r="C1173" s="7"/>
      <c r="D1173" s="7"/>
    </row>
    <row r="1174" customFormat="false" ht="15" hidden="false" customHeight="false" outlineLevel="0" collapsed="false">
      <c r="A1174" s="6" t="str">
        <f aca="false">IF('DATA UNIT'!$B60="","",'DATA UNIT'!$B60)</f>
        <v>KT 8167 ZA</v>
      </c>
      <c r="B1174" s="6" t="str">
        <f aca="false">IF($A1174="","",INDEX(PlanningItemsList,13))</f>
        <v>V-Belt</v>
      </c>
      <c r="C1174" s="7"/>
      <c r="D1174" s="7"/>
    </row>
    <row r="1175" customFormat="false" ht="15" hidden="false" customHeight="false" outlineLevel="0" collapsed="false">
      <c r="A1175" s="6" t="str">
        <f aca="false">IF('DATA UNIT'!$B60="","",'DATA UNIT'!$B60)</f>
        <v>KT 8167 ZA</v>
      </c>
      <c r="B1175" s="6" t="str">
        <f aca="false">IF($A1175="","",INDEX(PlanningItemsList,14))</f>
        <v>Sarung Jok</v>
      </c>
      <c r="C1175" s="7"/>
      <c r="D1175" s="7"/>
    </row>
    <row r="1176" customFormat="false" ht="15" hidden="false" customHeight="false" outlineLevel="0" collapsed="false">
      <c r="A1176" s="6" t="str">
        <f aca="false">IF('DATA UNIT'!$B60="","",'DATA UNIT'!$B60)</f>
        <v>KT 8167 ZA</v>
      </c>
      <c r="B1176" s="6" t="str">
        <f aca="false">IF($A1176="","",INDEX(PlanningItemsList,15))</f>
        <v>Karpet Karet</v>
      </c>
      <c r="C1176" s="7"/>
      <c r="D1176" s="7"/>
    </row>
    <row r="1177" customFormat="false" ht="15" hidden="false" customHeight="false" outlineLevel="0" collapsed="false">
      <c r="A1177" s="6" t="str">
        <f aca="false">IF('DATA UNIT'!$B60="","",'DATA UNIT'!$B60)</f>
        <v>KT 8167 ZA</v>
      </c>
      <c r="B1177" s="6" t="str">
        <f aca="false">IF($A1177="","",INDEX(PlanningItemsList,16))</f>
        <v>Karpet Dasar</v>
      </c>
      <c r="C1177" s="7"/>
      <c r="D1177" s="7"/>
    </row>
    <row r="1178" customFormat="false" ht="15" hidden="false" customHeight="false" outlineLevel="0" collapsed="false">
      <c r="A1178" s="6" t="str">
        <f aca="false">IF('DATA UNIT'!$B60="","",'DATA UNIT'!$B60)</f>
        <v>KT 8167 ZA</v>
      </c>
      <c r="B1178" s="6" t="str">
        <f aca="false">IF($A1178="","",INDEX(PlanningItemsList,17))</f>
        <v>Flushing Radiator</v>
      </c>
      <c r="C1178" s="7"/>
      <c r="D1178" s="7"/>
    </row>
    <row r="1179" customFormat="false" ht="15" hidden="false" customHeight="false" outlineLevel="0" collapsed="false">
      <c r="A1179" s="6" t="str">
        <f aca="false">IF('DATA UNIT'!$B60="","",'DATA UNIT'!$B60)</f>
        <v>KT 8167 ZA</v>
      </c>
      <c r="B1179" s="6" t="str">
        <f aca="false">IF($A1179="","",INDEX(PlanningItemsList,18))</f>
        <v>Flushing Steering</v>
      </c>
      <c r="C1179" s="7"/>
      <c r="D1179" s="7"/>
    </row>
    <row r="1180" customFormat="false" ht="15" hidden="false" customHeight="false" outlineLevel="0" collapsed="false">
      <c r="A1180" s="6" t="str">
        <f aca="false">IF('DATA UNIT'!$B60="","",'DATA UNIT'!$B60)</f>
        <v>KT 8167 ZA</v>
      </c>
      <c r="B1180" s="6" t="str">
        <f aca="false">IF($A1180="","",INDEX(PlanningItemsList,19))</f>
        <v>Flushing Injector</v>
      </c>
      <c r="C1180" s="7"/>
      <c r="D1180" s="7"/>
    </row>
    <row r="1181" customFormat="false" ht="15" hidden="false" customHeight="false" outlineLevel="0" collapsed="false">
      <c r="A1181" s="6" t="str">
        <f aca="false">IF('DATA UNIT'!$B60="","",'DATA UNIT'!$B60)</f>
        <v>KT 8167 ZA</v>
      </c>
      <c r="B1181" s="6" t="str">
        <f aca="false">IF($A1181="","",INDEX(PlanningItemsList,20))</f>
        <v>Flushing Rem</v>
      </c>
      <c r="C1181" s="7"/>
      <c r="D1181" s="7"/>
    </row>
    <row r="1182" customFormat="false" ht="15" hidden="false" customHeight="false" outlineLevel="0" collapsed="false">
      <c r="A1182" s="6" t="str">
        <f aca="false">IF('DATA UNIT'!$B61="","",'DATA UNIT'!$B61)</f>
        <v>DW 8328 AN</v>
      </c>
      <c r="B1182" s="6" t="str">
        <f aca="false">IF($A1182="","",INDEX(PlanningItemsList,1))</f>
        <v>PM Check / Reguler Services</v>
      </c>
      <c r="C1182" s="7"/>
      <c r="D1182" s="7"/>
    </row>
    <row r="1183" customFormat="false" ht="15" hidden="false" customHeight="false" outlineLevel="0" collapsed="false">
      <c r="A1183" s="6" t="str">
        <f aca="false">IF('DATA UNIT'!$B61="","",'DATA UNIT'!$B61)</f>
        <v>DW 8328 AN</v>
      </c>
      <c r="B1183" s="6" t="str">
        <f aca="false">IF($A1183="","",INDEX(PlanningItemsList,2))</f>
        <v>Service A</v>
      </c>
      <c r="C1183" s="7"/>
      <c r="D1183" s="7"/>
    </row>
    <row r="1184" customFormat="false" ht="15" hidden="false" customHeight="false" outlineLevel="0" collapsed="false">
      <c r="A1184" s="6" t="str">
        <f aca="false">IF('DATA UNIT'!$B61="","",'DATA UNIT'!$B61)</f>
        <v>DW 8328 AN</v>
      </c>
      <c r="B1184" s="6" t="str">
        <f aca="false">IF($A1184="","",INDEX(PlanningItemsList,3))</f>
        <v>Service B</v>
      </c>
      <c r="C1184" s="7"/>
      <c r="D1184" s="7"/>
    </row>
    <row r="1185" customFormat="false" ht="15" hidden="false" customHeight="false" outlineLevel="0" collapsed="false">
      <c r="A1185" s="6" t="str">
        <f aca="false">IF('DATA UNIT'!$B61="","",'DATA UNIT'!$B61)</f>
        <v>DW 8328 AN</v>
      </c>
      <c r="B1185" s="6" t="str">
        <f aca="false">IF($A1185="","",INDEX(PlanningItemsList,4))</f>
        <v>Brake Pad</v>
      </c>
      <c r="C1185" s="7"/>
      <c r="D1185" s="7"/>
    </row>
    <row r="1186" customFormat="false" ht="15" hidden="false" customHeight="false" outlineLevel="0" collapsed="false">
      <c r="A1186" s="6" t="str">
        <f aca="false">IF('DATA UNIT'!$B61="","",'DATA UNIT'!$B61)</f>
        <v>DW 8328 AN</v>
      </c>
      <c r="B1186" s="6" t="str">
        <f aca="false">IF($A1186="","",INDEX(PlanningItemsList,5))</f>
        <v>Brake Shoe</v>
      </c>
      <c r="C1186" s="7"/>
      <c r="D1186" s="7"/>
    </row>
    <row r="1187" customFormat="false" ht="15" hidden="false" customHeight="false" outlineLevel="0" collapsed="false">
      <c r="A1187" s="6" t="str">
        <f aca="false">IF('DATA UNIT'!$B61="","",'DATA UNIT'!$B61)</f>
        <v>DW 8328 AN</v>
      </c>
      <c r="B1187" s="6" t="str">
        <f aca="false">IF($A1187="","",INDEX(PlanningItemsList,6))</f>
        <v>Accu</v>
      </c>
      <c r="C1187" s="7"/>
      <c r="D1187" s="7"/>
    </row>
    <row r="1188" customFormat="false" ht="15" hidden="false" customHeight="false" outlineLevel="0" collapsed="false">
      <c r="A1188" s="6" t="str">
        <f aca="false">IF('DATA UNIT'!$B61="","",'DATA UNIT'!$B61)</f>
        <v>DW 8328 AN</v>
      </c>
      <c r="B1188" s="6" t="str">
        <f aca="false">IF($A1188="","",INDEX(PlanningItemsList,7))</f>
        <v>Kampas Kopling Set</v>
      </c>
      <c r="C1188" s="7"/>
      <c r="D1188" s="7"/>
    </row>
    <row r="1189" customFormat="false" ht="15" hidden="false" customHeight="false" outlineLevel="0" collapsed="false">
      <c r="A1189" s="6" t="str">
        <f aca="false">IF('DATA UNIT'!$B61="","",'DATA UNIT'!$B61)</f>
        <v>DW 8328 AN</v>
      </c>
      <c r="B1189" s="6" t="str">
        <f aca="false">IF($A1189="","",INDEX(PlanningItemsList,8))</f>
        <v>Wiper Blade</v>
      </c>
      <c r="C1189" s="7"/>
      <c r="D1189" s="7"/>
    </row>
    <row r="1190" customFormat="false" ht="15" hidden="false" customHeight="false" outlineLevel="0" collapsed="false">
      <c r="A1190" s="6" t="str">
        <f aca="false">IF('DATA UNIT'!$B61="","",'DATA UNIT'!$B61)</f>
        <v>DW 8328 AN</v>
      </c>
      <c r="B1190" s="6" t="str">
        <f aca="false">IF($A1190="","",INDEX(PlanningItemsList,9))</f>
        <v>Ban Depan</v>
      </c>
      <c r="C1190" s="7"/>
      <c r="D1190" s="7"/>
    </row>
    <row r="1191" customFormat="false" ht="15" hidden="false" customHeight="false" outlineLevel="0" collapsed="false">
      <c r="A1191" s="6" t="str">
        <f aca="false">IF('DATA UNIT'!$B61="","",'DATA UNIT'!$B61)</f>
        <v>DW 8328 AN</v>
      </c>
      <c r="B1191" s="6" t="str">
        <f aca="false">IF($A1191="","",INDEX(PlanningItemsList,10))</f>
        <v>Ban Belakang</v>
      </c>
      <c r="C1191" s="7"/>
      <c r="D1191" s="7"/>
    </row>
    <row r="1192" customFormat="false" ht="15" hidden="false" customHeight="false" outlineLevel="0" collapsed="false">
      <c r="A1192" s="6" t="str">
        <f aca="false">IF('DATA UNIT'!$B61="","",'DATA UNIT'!$B61)</f>
        <v>DW 8328 AN</v>
      </c>
      <c r="B1192" s="6" t="str">
        <f aca="false">IF($A1192="","",INDEX(PlanningItemsList,11))</f>
        <v>Ban Serep</v>
      </c>
      <c r="C1192" s="7"/>
      <c r="D1192" s="7"/>
    </row>
    <row r="1193" customFormat="false" ht="15" hidden="false" customHeight="false" outlineLevel="0" collapsed="false">
      <c r="A1193" s="6" t="str">
        <f aca="false">IF('DATA UNIT'!$B61="","",'DATA UNIT'!$B61)</f>
        <v>DW 8328 AN</v>
      </c>
      <c r="B1193" s="6" t="str">
        <f aca="false">IF($A1193="","",INDEX(PlanningItemsList,12))</f>
        <v>Greasing</v>
      </c>
      <c r="C1193" s="7"/>
      <c r="D1193" s="7"/>
    </row>
    <row r="1194" customFormat="false" ht="15" hidden="false" customHeight="false" outlineLevel="0" collapsed="false">
      <c r="A1194" s="6" t="str">
        <f aca="false">IF('DATA UNIT'!$B61="","",'DATA UNIT'!$B61)</f>
        <v>DW 8328 AN</v>
      </c>
      <c r="B1194" s="6" t="str">
        <f aca="false">IF($A1194="","",INDEX(PlanningItemsList,13))</f>
        <v>V-Belt</v>
      </c>
      <c r="C1194" s="7"/>
      <c r="D1194" s="7"/>
    </row>
    <row r="1195" customFormat="false" ht="15" hidden="false" customHeight="false" outlineLevel="0" collapsed="false">
      <c r="A1195" s="6" t="str">
        <f aca="false">IF('DATA UNIT'!$B61="","",'DATA UNIT'!$B61)</f>
        <v>DW 8328 AN</v>
      </c>
      <c r="B1195" s="6" t="str">
        <f aca="false">IF($A1195="","",INDEX(PlanningItemsList,14))</f>
        <v>Sarung Jok</v>
      </c>
      <c r="C1195" s="7"/>
      <c r="D1195" s="7"/>
    </row>
    <row r="1196" customFormat="false" ht="15" hidden="false" customHeight="false" outlineLevel="0" collapsed="false">
      <c r="A1196" s="6" t="str">
        <f aca="false">IF('DATA UNIT'!$B61="","",'DATA UNIT'!$B61)</f>
        <v>DW 8328 AN</v>
      </c>
      <c r="B1196" s="6" t="str">
        <f aca="false">IF($A1196="","",INDEX(PlanningItemsList,15))</f>
        <v>Karpet Karet</v>
      </c>
      <c r="C1196" s="7"/>
      <c r="D1196" s="7"/>
    </row>
    <row r="1197" customFormat="false" ht="15" hidden="false" customHeight="false" outlineLevel="0" collapsed="false">
      <c r="A1197" s="6" t="str">
        <f aca="false">IF('DATA UNIT'!$B61="","",'DATA UNIT'!$B61)</f>
        <v>DW 8328 AN</v>
      </c>
      <c r="B1197" s="6" t="str">
        <f aca="false">IF($A1197="","",INDEX(PlanningItemsList,16))</f>
        <v>Karpet Dasar</v>
      </c>
      <c r="C1197" s="7"/>
      <c r="D1197" s="7"/>
    </row>
    <row r="1198" customFormat="false" ht="15" hidden="false" customHeight="false" outlineLevel="0" collapsed="false">
      <c r="A1198" s="6" t="str">
        <f aca="false">IF('DATA UNIT'!$B61="","",'DATA UNIT'!$B61)</f>
        <v>DW 8328 AN</v>
      </c>
      <c r="B1198" s="6" t="str">
        <f aca="false">IF($A1198="","",INDEX(PlanningItemsList,17))</f>
        <v>Flushing Radiator</v>
      </c>
      <c r="C1198" s="7"/>
      <c r="D1198" s="7"/>
    </row>
    <row r="1199" customFormat="false" ht="15" hidden="false" customHeight="false" outlineLevel="0" collapsed="false">
      <c r="A1199" s="6" t="str">
        <f aca="false">IF('DATA UNIT'!$B61="","",'DATA UNIT'!$B61)</f>
        <v>DW 8328 AN</v>
      </c>
      <c r="B1199" s="6" t="str">
        <f aca="false">IF($A1199="","",INDEX(PlanningItemsList,18))</f>
        <v>Flushing Steering</v>
      </c>
      <c r="C1199" s="7"/>
      <c r="D1199" s="7"/>
    </row>
    <row r="1200" customFormat="false" ht="15" hidden="false" customHeight="false" outlineLevel="0" collapsed="false">
      <c r="A1200" s="6" t="str">
        <f aca="false">IF('DATA UNIT'!$B61="","",'DATA UNIT'!$B61)</f>
        <v>DW 8328 AN</v>
      </c>
      <c r="B1200" s="6" t="str">
        <f aca="false">IF($A1200="","",INDEX(PlanningItemsList,19))</f>
        <v>Flushing Injector</v>
      </c>
      <c r="C1200" s="7"/>
      <c r="D1200" s="7"/>
    </row>
    <row r="1201" customFormat="false" ht="15" hidden="false" customHeight="false" outlineLevel="0" collapsed="false">
      <c r="A1201" s="6" t="str">
        <f aca="false">IF('DATA UNIT'!$B61="","",'DATA UNIT'!$B61)</f>
        <v>DW 8328 AN</v>
      </c>
      <c r="B1201" s="6" t="str">
        <f aca="false">IF($A1201="","",INDEX(PlanningItemsList,20))</f>
        <v>Flushing Rem</v>
      </c>
      <c r="C1201" s="7"/>
      <c r="D1201" s="7"/>
    </row>
    <row r="1202" customFormat="false" ht="15" hidden="false" customHeight="false" outlineLevel="0" collapsed="false">
      <c r="A1202" s="6" t="str">
        <f aca="false">IF('DATA UNIT'!$B62="","",'DATA UNIT'!$B62)</f>
        <v>KT 8166 ZA</v>
      </c>
      <c r="B1202" s="6" t="str">
        <f aca="false">IF($A1202="","",INDEX(PlanningItemsList,1))</f>
        <v>PM Check / Reguler Services</v>
      </c>
      <c r="C1202" s="7"/>
      <c r="D1202" s="7"/>
    </row>
    <row r="1203" customFormat="false" ht="15" hidden="false" customHeight="false" outlineLevel="0" collapsed="false">
      <c r="A1203" s="6" t="str">
        <f aca="false">IF('DATA UNIT'!$B62="","",'DATA UNIT'!$B62)</f>
        <v>KT 8166 ZA</v>
      </c>
      <c r="B1203" s="6" t="str">
        <f aca="false">IF($A1203="","",INDEX(PlanningItemsList,2))</f>
        <v>Service A</v>
      </c>
      <c r="C1203" s="7"/>
      <c r="D1203" s="7"/>
    </row>
    <row r="1204" customFormat="false" ht="15" hidden="false" customHeight="false" outlineLevel="0" collapsed="false">
      <c r="A1204" s="6" t="str">
        <f aca="false">IF('DATA UNIT'!$B62="","",'DATA UNIT'!$B62)</f>
        <v>KT 8166 ZA</v>
      </c>
      <c r="B1204" s="6" t="str">
        <f aca="false">IF($A1204="","",INDEX(PlanningItemsList,3))</f>
        <v>Service B</v>
      </c>
      <c r="C1204" s="7"/>
      <c r="D1204" s="7"/>
    </row>
    <row r="1205" customFormat="false" ht="15" hidden="false" customHeight="false" outlineLevel="0" collapsed="false">
      <c r="A1205" s="6" t="str">
        <f aca="false">IF('DATA UNIT'!$B62="","",'DATA UNIT'!$B62)</f>
        <v>KT 8166 ZA</v>
      </c>
      <c r="B1205" s="6" t="str">
        <f aca="false">IF($A1205="","",INDEX(PlanningItemsList,4))</f>
        <v>Brake Pad</v>
      </c>
      <c r="C1205" s="7"/>
      <c r="D1205" s="7"/>
    </row>
    <row r="1206" customFormat="false" ht="15" hidden="false" customHeight="false" outlineLevel="0" collapsed="false">
      <c r="A1206" s="6" t="str">
        <f aca="false">IF('DATA UNIT'!$B62="","",'DATA UNIT'!$B62)</f>
        <v>KT 8166 ZA</v>
      </c>
      <c r="B1206" s="6" t="str">
        <f aca="false">IF($A1206="","",INDEX(PlanningItemsList,5))</f>
        <v>Brake Shoe</v>
      </c>
      <c r="C1206" s="7"/>
      <c r="D1206" s="7"/>
    </row>
    <row r="1207" customFormat="false" ht="15" hidden="false" customHeight="false" outlineLevel="0" collapsed="false">
      <c r="A1207" s="6" t="str">
        <f aca="false">IF('DATA UNIT'!$B62="","",'DATA UNIT'!$B62)</f>
        <v>KT 8166 ZA</v>
      </c>
      <c r="B1207" s="6" t="str">
        <f aca="false">IF($A1207="","",INDEX(PlanningItemsList,6))</f>
        <v>Accu</v>
      </c>
      <c r="C1207" s="7"/>
      <c r="D1207" s="7"/>
    </row>
    <row r="1208" customFormat="false" ht="15" hidden="false" customHeight="false" outlineLevel="0" collapsed="false">
      <c r="A1208" s="6" t="str">
        <f aca="false">IF('DATA UNIT'!$B62="","",'DATA UNIT'!$B62)</f>
        <v>KT 8166 ZA</v>
      </c>
      <c r="B1208" s="6" t="str">
        <f aca="false">IF($A1208="","",INDEX(PlanningItemsList,7))</f>
        <v>Kampas Kopling Set</v>
      </c>
      <c r="C1208" s="7"/>
      <c r="D1208" s="7"/>
    </row>
    <row r="1209" customFormat="false" ht="15" hidden="false" customHeight="false" outlineLevel="0" collapsed="false">
      <c r="A1209" s="6" t="str">
        <f aca="false">IF('DATA UNIT'!$B62="","",'DATA UNIT'!$B62)</f>
        <v>KT 8166 ZA</v>
      </c>
      <c r="B1209" s="6" t="str">
        <f aca="false">IF($A1209="","",INDEX(PlanningItemsList,8))</f>
        <v>Wiper Blade</v>
      </c>
      <c r="C1209" s="7"/>
      <c r="D1209" s="7"/>
    </row>
    <row r="1210" customFormat="false" ht="15" hidden="false" customHeight="false" outlineLevel="0" collapsed="false">
      <c r="A1210" s="6" t="str">
        <f aca="false">IF('DATA UNIT'!$B62="","",'DATA UNIT'!$B62)</f>
        <v>KT 8166 ZA</v>
      </c>
      <c r="B1210" s="6" t="str">
        <f aca="false">IF($A1210="","",INDEX(PlanningItemsList,9))</f>
        <v>Ban Depan</v>
      </c>
      <c r="C1210" s="7"/>
      <c r="D1210" s="7"/>
    </row>
    <row r="1211" customFormat="false" ht="15" hidden="false" customHeight="false" outlineLevel="0" collapsed="false">
      <c r="A1211" s="6" t="str">
        <f aca="false">IF('DATA UNIT'!$B62="","",'DATA UNIT'!$B62)</f>
        <v>KT 8166 ZA</v>
      </c>
      <c r="B1211" s="6" t="str">
        <f aca="false">IF($A1211="","",INDEX(PlanningItemsList,10))</f>
        <v>Ban Belakang</v>
      </c>
      <c r="C1211" s="7"/>
      <c r="D1211" s="7"/>
    </row>
    <row r="1212" customFormat="false" ht="15" hidden="false" customHeight="false" outlineLevel="0" collapsed="false">
      <c r="A1212" s="6" t="str">
        <f aca="false">IF('DATA UNIT'!$B62="","",'DATA UNIT'!$B62)</f>
        <v>KT 8166 ZA</v>
      </c>
      <c r="B1212" s="6" t="str">
        <f aca="false">IF($A1212="","",INDEX(PlanningItemsList,11))</f>
        <v>Ban Serep</v>
      </c>
      <c r="C1212" s="7"/>
      <c r="D1212" s="7"/>
    </row>
    <row r="1213" customFormat="false" ht="15" hidden="false" customHeight="false" outlineLevel="0" collapsed="false">
      <c r="A1213" s="6" t="str">
        <f aca="false">IF('DATA UNIT'!$B62="","",'DATA UNIT'!$B62)</f>
        <v>KT 8166 ZA</v>
      </c>
      <c r="B1213" s="6" t="str">
        <f aca="false">IF($A1213="","",INDEX(PlanningItemsList,12))</f>
        <v>Greasing</v>
      </c>
      <c r="C1213" s="7"/>
      <c r="D1213" s="7"/>
    </row>
    <row r="1214" customFormat="false" ht="15" hidden="false" customHeight="false" outlineLevel="0" collapsed="false">
      <c r="A1214" s="6" t="str">
        <f aca="false">IF('DATA UNIT'!$B62="","",'DATA UNIT'!$B62)</f>
        <v>KT 8166 ZA</v>
      </c>
      <c r="B1214" s="6" t="str">
        <f aca="false">IF($A1214="","",INDEX(PlanningItemsList,13))</f>
        <v>V-Belt</v>
      </c>
      <c r="C1214" s="7"/>
      <c r="D1214" s="7"/>
    </row>
    <row r="1215" customFormat="false" ht="15" hidden="false" customHeight="false" outlineLevel="0" collapsed="false">
      <c r="A1215" s="6" t="str">
        <f aca="false">IF('DATA UNIT'!$B62="","",'DATA UNIT'!$B62)</f>
        <v>KT 8166 ZA</v>
      </c>
      <c r="B1215" s="6" t="str">
        <f aca="false">IF($A1215="","",INDEX(PlanningItemsList,14))</f>
        <v>Sarung Jok</v>
      </c>
      <c r="C1215" s="7"/>
      <c r="D1215" s="7"/>
    </row>
    <row r="1216" customFormat="false" ht="15" hidden="false" customHeight="false" outlineLevel="0" collapsed="false">
      <c r="A1216" s="6" t="str">
        <f aca="false">IF('DATA UNIT'!$B62="","",'DATA UNIT'!$B62)</f>
        <v>KT 8166 ZA</v>
      </c>
      <c r="B1216" s="6" t="str">
        <f aca="false">IF($A1216="","",INDEX(PlanningItemsList,15))</f>
        <v>Karpet Karet</v>
      </c>
      <c r="C1216" s="7"/>
      <c r="D1216" s="7"/>
    </row>
    <row r="1217" customFormat="false" ht="15" hidden="false" customHeight="false" outlineLevel="0" collapsed="false">
      <c r="A1217" s="6" t="str">
        <f aca="false">IF('DATA UNIT'!$B62="","",'DATA UNIT'!$B62)</f>
        <v>KT 8166 ZA</v>
      </c>
      <c r="B1217" s="6" t="str">
        <f aca="false">IF($A1217="","",INDEX(PlanningItemsList,16))</f>
        <v>Karpet Dasar</v>
      </c>
      <c r="C1217" s="7"/>
      <c r="D1217" s="7"/>
    </row>
    <row r="1218" customFormat="false" ht="15" hidden="false" customHeight="false" outlineLevel="0" collapsed="false">
      <c r="A1218" s="6" t="str">
        <f aca="false">IF('DATA UNIT'!$B62="","",'DATA UNIT'!$B62)</f>
        <v>KT 8166 ZA</v>
      </c>
      <c r="B1218" s="6" t="str">
        <f aca="false">IF($A1218="","",INDEX(PlanningItemsList,17))</f>
        <v>Flushing Radiator</v>
      </c>
      <c r="C1218" s="7"/>
      <c r="D1218" s="7"/>
    </row>
    <row r="1219" customFormat="false" ht="15" hidden="false" customHeight="false" outlineLevel="0" collapsed="false">
      <c r="A1219" s="6" t="str">
        <f aca="false">IF('DATA UNIT'!$B62="","",'DATA UNIT'!$B62)</f>
        <v>KT 8166 ZA</v>
      </c>
      <c r="B1219" s="6" t="str">
        <f aca="false">IF($A1219="","",INDEX(PlanningItemsList,18))</f>
        <v>Flushing Steering</v>
      </c>
      <c r="C1219" s="7"/>
      <c r="D1219" s="7"/>
    </row>
    <row r="1220" customFormat="false" ht="15" hidden="false" customHeight="false" outlineLevel="0" collapsed="false">
      <c r="A1220" s="6" t="str">
        <f aca="false">IF('DATA UNIT'!$B62="","",'DATA UNIT'!$B62)</f>
        <v>KT 8166 ZA</v>
      </c>
      <c r="B1220" s="6" t="str">
        <f aca="false">IF($A1220="","",INDEX(PlanningItemsList,19))</f>
        <v>Flushing Injector</v>
      </c>
      <c r="C1220" s="7"/>
      <c r="D1220" s="7"/>
    </row>
    <row r="1221" customFormat="false" ht="15" hidden="false" customHeight="false" outlineLevel="0" collapsed="false">
      <c r="A1221" s="6" t="str">
        <f aca="false">IF('DATA UNIT'!$B62="","",'DATA UNIT'!$B62)</f>
        <v>KT 8166 ZA</v>
      </c>
      <c r="B1221" s="6" t="str">
        <f aca="false">IF($A1221="","",INDEX(PlanningItemsList,20))</f>
        <v>Flushing Rem</v>
      </c>
      <c r="C1221" s="7"/>
      <c r="D1221" s="7"/>
    </row>
    <row r="1222" customFormat="false" ht="15" hidden="false" customHeight="false" outlineLevel="0" collapsed="false">
      <c r="A1222" s="6" t="str">
        <f aca="false">IF('DATA UNIT'!$B63="","",'DATA UNIT'!$B63)</f>
        <v>KT 8165 ZA</v>
      </c>
      <c r="B1222" s="6" t="str">
        <f aca="false">IF($A1222="","",INDEX(PlanningItemsList,1))</f>
        <v>PM Check / Reguler Services</v>
      </c>
      <c r="C1222" s="7"/>
      <c r="D1222" s="7"/>
    </row>
    <row r="1223" customFormat="false" ht="15" hidden="false" customHeight="false" outlineLevel="0" collapsed="false">
      <c r="A1223" s="6" t="str">
        <f aca="false">IF('DATA UNIT'!$B63="","",'DATA UNIT'!$B63)</f>
        <v>KT 8165 ZA</v>
      </c>
      <c r="B1223" s="6" t="str">
        <f aca="false">IF($A1223="","",INDEX(PlanningItemsList,2))</f>
        <v>Service A</v>
      </c>
      <c r="C1223" s="7"/>
      <c r="D1223" s="7"/>
    </row>
    <row r="1224" customFormat="false" ht="15" hidden="false" customHeight="false" outlineLevel="0" collapsed="false">
      <c r="A1224" s="6" t="str">
        <f aca="false">IF('DATA UNIT'!$B63="","",'DATA UNIT'!$B63)</f>
        <v>KT 8165 ZA</v>
      </c>
      <c r="B1224" s="6" t="str">
        <f aca="false">IF($A1224="","",INDEX(PlanningItemsList,3))</f>
        <v>Service B</v>
      </c>
      <c r="C1224" s="7"/>
      <c r="D1224" s="7"/>
    </row>
    <row r="1225" customFormat="false" ht="15" hidden="false" customHeight="false" outlineLevel="0" collapsed="false">
      <c r="A1225" s="6" t="str">
        <f aca="false">IF('DATA UNIT'!$B63="","",'DATA UNIT'!$B63)</f>
        <v>KT 8165 ZA</v>
      </c>
      <c r="B1225" s="6" t="str">
        <f aca="false">IF($A1225="","",INDEX(PlanningItemsList,4))</f>
        <v>Brake Pad</v>
      </c>
      <c r="C1225" s="7"/>
      <c r="D1225" s="7"/>
    </row>
    <row r="1226" customFormat="false" ht="15" hidden="false" customHeight="false" outlineLevel="0" collapsed="false">
      <c r="A1226" s="6" t="str">
        <f aca="false">IF('DATA UNIT'!$B63="","",'DATA UNIT'!$B63)</f>
        <v>KT 8165 ZA</v>
      </c>
      <c r="B1226" s="6" t="str">
        <f aca="false">IF($A1226="","",INDEX(PlanningItemsList,5))</f>
        <v>Brake Shoe</v>
      </c>
      <c r="C1226" s="7"/>
      <c r="D1226" s="7"/>
    </row>
    <row r="1227" customFormat="false" ht="15" hidden="false" customHeight="false" outlineLevel="0" collapsed="false">
      <c r="A1227" s="6" t="str">
        <f aca="false">IF('DATA UNIT'!$B63="","",'DATA UNIT'!$B63)</f>
        <v>KT 8165 ZA</v>
      </c>
      <c r="B1227" s="6" t="str">
        <f aca="false">IF($A1227="","",INDEX(PlanningItemsList,6))</f>
        <v>Accu</v>
      </c>
      <c r="C1227" s="7"/>
      <c r="D1227" s="7"/>
    </row>
    <row r="1228" customFormat="false" ht="15" hidden="false" customHeight="false" outlineLevel="0" collapsed="false">
      <c r="A1228" s="6" t="str">
        <f aca="false">IF('DATA UNIT'!$B63="","",'DATA UNIT'!$B63)</f>
        <v>KT 8165 ZA</v>
      </c>
      <c r="B1228" s="6" t="str">
        <f aca="false">IF($A1228="","",INDEX(PlanningItemsList,7))</f>
        <v>Kampas Kopling Set</v>
      </c>
      <c r="C1228" s="7"/>
      <c r="D1228" s="7"/>
    </row>
    <row r="1229" customFormat="false" ht="15" hidden="false" customHeight="false" outlineLevel="0" collapsed="false">
      <c r="A1229" s="6" t="str">
        <f aca="false">IF('DATA UNIT'!$B63="","",'DATA UNIT'!$B63)</f>
        <v>KT 8165 ZA</v>
      </c>
      <c r="B1229" s="6" t="str">
        <f aca="false">IF($A1229="","",INDEX(PlanningItemsList,8))</f>
        <v>Wiper Blade</v>
      </c>
      <c r="C1229" s="7"/>
      <c r="D1229" s="7"/>
    </row>
    <row r="1230" customFormat="false" ht="15" hidden="false" customHeight="false" outlineLevel="0" collapsed="false">
      <c r="A1230" s="6" t="str">
        <f aca="false">IF('DATA UNIT'!$B63="","",'DATA UNIT'!$B63)</f>
        <v>KT 8165 ZA</v>
      </c>
      <c r="B1230" s="6" t="str">
        <f aca="false">IF($A1230="","",INDEX(PlanningItemsList,9))</f>
        <v>Ban Depan</v>
      </c>
      <c r="C1230" s="7"/>
      <c r="D1230" s="7"/>
    </row>
    <row r="1231" customFormat="false" ht="15" hidden="false" customHeight="false" outlineLevel="0" collapsed="false">
      <c r="A1231" s="6" t="str">
        <f aca="false">IF('DATA UNIT'!$B63="","",'DATA UNIT'!$B63)</f>
        <v>KT 8165 ZA</v>
      </c>
      <c r="B1231" s="6" t="str">
        <f aca="false">IF($A1231="","",INDEX(PlanningItemsList,10))</f>
        <v>Ban Belakang</v>
      </c>
      <c r="C1231" s="7"/>
      <c r="D1231" s="7"/>
    </row>
    <row r="1232" customFormat="false" ht="15" hidden="false" customHeight="false" outlineLevel="0" collapsed="false">
      <c r="A1232" s="6" t="str">
        <f aca="false">IF('DATA UNIT'!$B63="","",'DATA UNIT'!$B63)</f>
        <v>KT 8165 ZA</v>
      </c>
      <c r="B1232" s="6" t="str">
        <f aca="false">IF($A1232="","",INDEX(PlanningItemsList,11))</f>
        <v>Ban Serep</v>
      </c>
      <c r="C1232" s="7"/>
      <c r="D1232" s="7"/>
    </row>
    <row r="1233" customFormat="false" ht="15" hidden="false" customHeight="false" outlineLevel="0" collapsed="false">
      <c r="A1233" s="6" t="str">
        <f aca="false">IF('DATA UNIT'!$B63="","",'DATA UNIT'!$B63)</f>
        <v>KT 8165 ZA</v>
      </c>
      <c r="B1233" s="6" t="str">
        <f aca="false">IF($A1233="","",INDEX(PlanningItemsList,12))</f>
        <v>Greasing</v>
      </c>
      <c r="C1233" s="7"/>
      <c r="D1233" s="7"/>
    </row>
    <row r="1234" customFormat="false" ht="15" hidden="false" customHeight="false" outlineLevel="0" collapsed="false">
      <c r="A1234" s="6" t="str">
        <f aca="false">IF('DATA UNIT'!$B63="","",'DATA UNIT'!$B63)</f>
        <v>KT 8165 ZA</v>
      </c>
      <c r="B1234" s="6" t="str">
        <f aca="false">IF($A1234="","",INDEX(PlanningItemsList,13))</f>
        <v>V-Belt</v>
      </c>
      <c r="C1234" s="7"/>
      <c r="D1234" s="7"/>
    </row>
    <row r="1235" customFormat="false" ht="15" hidden="false" customHeight="false" outlineLevel="0" collapsed="false">
      <c r="A1235" s="6" t="str">
        <f aca="false">IF('DATA UNIT'!$B63="","",'DATA UNIT'!$B63)</f>
        <v>KT 8165 ZA</v>
      </c>
      <c r="B1235" s="6" t="str">
        <f aca="false">IF($A1235="","",INDEX(PlanningItemsList,14))</f>
        <v>Sarung Jok</v>
      </c>
      <c r="C1235" s="7"/>
      <c r="D1235" s="7"/>
    </row>
    <row r="1236" customFormat="false" ht="15" hidden="false" customHeight="false" outlineLevel="0" collapsed="false">
      <c r="A1236" s="6" t="str">
        <f aca="false">IF('DATA UNIT'!$B63="","",'DATA UNIT'!$B63)</f>
        <v>KT 8165 ZA</v>
      </c>
      <c r="B1236" s="6" t="str">
        <f aca="false">IF($A1236="","",INDEX(PlanningItemsList,15))</f>
        <v>Karpet Karet</v>
      </c>
      <c r="C1236" s="7"/>
      <c r="D1236" s="7"/>
    </row>
    <row r="1237" customFormat="false" ht="15" hidden="false" customHeight="false" outlineLevel="0" collapsed="false">
      <c r="A1237" s="6" t="str">
        <f aca="false">IF('DATA UNIT'!$B63="","",'DATA UNIT'!$B63)</f>
        <v>KT 8165 ZA</v>
      </c>
      <c r="B1237" s="6" t="str">
        <f aca="false">IF($A1237="","",INDEX(PlanningItemsList,16))</f>
        <v>Karpet Dasar</v>
      </c>
      <c r="C1237" s="7"/>
      <c r="D1237" s="7"/>
    </row>
    <row r="1238" customFormat="false" ht="15" hidden="false" customHeight="false" outlineLevel="0" collapsed="false">
      <c r="A1238" s="6" t="str">
        <f aca="false">IF('DATA UNIT'!$B63="","",'DATA UNIT'!$B63)</f>
        <v>KT 8165 ZA</v>
      </c>
      <c r="B1238" s="6" t="str">
        <f aca="false">IF($A1238="","",INDEX(PlanningItemsList,17))</f>
        <v>Flushing Radiator</v>
      </c>
      <c r="C1238" s="7"/>
      <c r="D1238" s="7"/>
    </row>
    <row r="1239" customFormat="false" ht="15" hidden="false" customHeight="false" outlineLevel="0" collapsed="false">
      <c r="A1239" s="6" t="str">
        <f aca="false">IF('DATA UNIT'!$B63="","",'DATA UNIT'!$B63)</f>
        <v>KT 8165 ZA</v>
      </c>
      <c r="B1239" s="6" t="str">
        <f aca="false">IF($A1239="","",INDEX(PlanningItemsList,18))</f>
        <v>Flushing Steering</v>
      </c>
      <c r="C1239" s="7"/>
      <c r="D1239" s="7"/>
    </row>
    <row r="1240" customFormat="false" ht="15" hidden="false" customHeight="false" outlineLevel="0" collapsed="false">
      <c r="A1240" s="6" t="str">
        <f aca="false">IF('DATA UNIT'!$B63="","",'DATA UNIT'!$B63)</f>
        <v>KT 8165 ZA</v>
      </c>
      <c r="B1240" s="6" t="str">
        <f aca="false">IF($A1240="","",INDEX(PlanningItemsList,19))</f>
        <v>Flushing Injector</v>
      </c>
      <c r="C1240" s="7"/>
      <c r="D1240" s="7"/>
    </row>
    <row r="1241" customFormat="false" ht="15" hidden="false" customHeight="false" outlineLevel="0" collapsed="false">
      <c r="A1241" s="6" t="str">
        <f aca="false">IF('DATA UNIT'!$B63="","",'DATA UNIT'!$B63)</f>
        <v>KT 8165 ZA</v>
      </c>
      <c r="B1241" s="6" t="str">
        <f aca="false">IF($A1241="","",INDEX(PlanningItemsList,20))</f>
        <v>Flushing Rem</v>
      </c>
      <c r="C1241" s="7"/>
      <c r="D1241" s="7"/>
    </row>
    <row r="1242" customFormat="false" ht="15" hidden="false" customHeight="false" outlineLevel="0" collapsed="false">
      <c r="A1242" s="6" t="str">
        <f aca="false">IF('DATA UNIT'!$B64="","",'DATA UNIT'!$B64)</f>
        <v>KT 8923 YY</v>
      </c>
      <c r="B1242" s="6" t="str">
        <f aca="false">IF($A1242="","",INDEX(PlanningItemsList,1))</f>
        <v>PM Check / Reguler Services</v>
      </c>
      <c r="C1242" s="7"/>
      <c r="D1242" s="7"/>
    </row>
    <row r="1243" customFormat="false" ht="15" hidden="false" customHeight="false" outlineLevel="0" collapsed="false">
      <c r="A1243" s="6" t="str">
        <f aca="false">IF('DATA UNIT'!$B64="","",'DATA UNIT'!$B64)</f>
        <v>KT 8923 YY</v>
      </c>
      <c r="B1243" s="6" t="str">
        <f aca="false">IF($A1243="","",INDEX(PlanningItemsList,2))</f>
        <v>Service A</v>
      </c>
      <c r="C1243" s="7"/>
      <c r="D1243" s="7"/>
    </row>
    <row r="1244" customFormat="false" ht="15" hidden="false" customHeight="false" outlineLevel="0" collapsed="false">
      <c r="A1244" s="6" t="str">
        <f aca="false">IF('DATA UNIT'!$B64="","",'DATA UNIT'!$B64)</f>
        <v>KT 8923 YY</v>
      </c>
      <c r="B1244" s="6" t="str">
        <f aca="false">IF($A1244="","",INDEX(PlanningItemsList,3))</f>
        <v>Service B</v>
      </c>
      <c r="C1244" s="7"/>
      <c r="D1244" s="7"/>
    </row>
    <row r="1245" customFormat="false" ht="15" hidden="false" customHeight="false" outlineLevel="0" collapsed="false">
      <c r="A1245" s="6" t="str">
        <f aca="false">IF('DATA UNIT'!$B64="","",'DATA UNIT'!$B64)</f>
        <v>KT 8923 YY</v>
      </c>
      <c r="B1245" s="6" t="str">
        <f aca="false">IF($A1245="","",INDEX(PlanningItemsList,4))</f>
        <v>Brake Pad</v>
      </c>
      <c r="C1245" s="7"/>
      <c r="D1245" s="7"/>
    </row>
    <row r="1246" customFormat="false" ht="15" hidden="false" customHeight="false" outlineLevel="0" collapsed="false">
      <c r="A1246" s="6" t="str">
        <f aca="false">IF('DATA UNIT'!$B64="","",'DATA UNIT'!$B64)</f>
        <v>KT 8923 YY</v>
      </c>
      <c r="B1246" s="6" t="str">
        <f aca="false">IF($A1246="","",INDEX(PlanningItemsList,5))</f>
        <v>Brake Shoe</v>
      </c>
      <c r="C1246" s="7"/>
      <c r="D1246" s="7"/>
    </row>
    <row r="1247" customFormat="false" ht="15" hidden="false" customHeight="false" outlineLevel="0" collapsed="false">
      <c r="A1247" s="6" t="str">
        <f aca="false">IF('DATA UNIT'!$B64="","",'DATA UNIT'!$B64)</f>
        <v>KT 8923 YY</v>
      </c>
      <c r="B1247" s="6" t="str">
        <f aca="false">IF($A1247="","",INDEX(PlanningItemsList,6))</f>
        <v>Accu</v>
      </c>
      <c r="C1247" s="7"/>
      <c r="D1247" s="7"/>
    </row>
    <row r="1248" customFormat="false" ht="15" hidden="false" customHeight="false" outlineLevel="0" collapsed="false">
      <c r="A1248" s="6" t="str">
        <f aca="false">IF('DATA UNIT'!$B64="","",'DATA UNIT'!$B64)</f>
        <v>KT 8923 YY</v>
      </c>
      <c r="B1248" s="6" t="str">
        <f aca="false">IF($A1248="","",INDEX(PlanningItemsList,7))</f>
        <v>Kampas Kopling Set</v>
      </c>
      <c r="C1248" s="7"/>
      <c r="D1248" s="7"/>
    </row>
    <row r="1249" customFormat="false" ht="15" hidden="false" customHeight="false" outlineLevel="0" collapsed="false">
      <c r="A1249" s="6" t="str">
        <f aca="false">IF('DATA UNIT'!$B64="","",'DATA UNIT'!$B64)</f>
        <v>KT 8923 YY</v>
      </c>
      <c r="B1249" s="6" t="str">
        <f aca="false">IF($A1249="","",INDEX(PlanningItemsList,8))</f>
        <v>Wiper Blade</v>
      </c>
      <c r="C1249" s="7"/>
      <c r="D1249" s="7"/>
    </row>
    <row r="1250" customFormat="false" ht="15" hidden="false" customHeight="false" outlineLevel="0" collapsed="false">
      <c r="A1250" s="6" t="str">
        <f aca="false">IF('DATA UNIT'!$B64="","",'DATA UNIT'!$B64)</f>
        <v>KT 8923 YY</v>
      </c>
      <c r="B1250" s="6" t="str">
        <f aca="false">IF($A1250="","",INDEX(PlanningItemsList,9))</f>
        <v>Ban Depan</v>
      </c>
      <c r="C1250" s="7"/>
      <c r="D1250" s="7"/>
    </row>
    <row r="1251" customFormat="false" ht="15" hidden="false" customHeight="false" outlineLevel="0" collapsed="false">
      <c r="A1251" s="6" t="str">
        <f aca="false">IF('DATA UNIT'!$B64="","",'DATA UNIT'!$B64)</f>
        <v>KT 8923 YY</v>
      </c>
      <c r="B1251" s="6" t="str">
        <f aca="false">IF($A1251="","",INDEX(PlanningItemsList,10))</f>
        <v>Ban Belakang</v>
      </c>
      <c r="C1251" s="7"/>
      <c r="D1251" s="7"/>
    </row>
    <row r="1252" customFormat="false" ht="15" hidden="false" customHeight="false" outlineLevel="0" collapsed="false">
      <c r="A1252" s="6" t="str">
        <f aca="false">IF('DATA UNIT'!$B64="","",'DATA UNIT'!$B64)</f>
        <v>KT 8923 YY</v>
      </c>
      <c r="B1252" s="6" t="str">
        <f aca="false">IF($A1252="","",INDEX(PlanningItemsList,11))</f>
        <v>Ban Serep</v>
      </c>
      <c r="C1252" s="7"/>
      <c r="D1252" s="7"/>
    </row>
    <row r="1253" customFormat="false" ht="15" hidden="false" customHeight="false" outlineLevel="0" collapsed="false">
      <c r="A1253" s="6" t="str">
        <f aca="false">IF('DATA UNIT'!$B64="","",'DATA UNIT'!$B64)</f>
        <v>KT 8923 YY</v>
      </c>
      <c r="B1253" s="6" t="str">
        <f aca="false">IF($A1253="","",INDEX(PlanningItemsList,12))</f>
        <v>Greasing</v>
      </c>
      <c r="C1253" s="7"/>
      <c r="D1253" s="7"/>
    </row>
    <row r="1254" customFormat="false" ht="15" hidden="false" customHeight="false" outlineLevel="0" collapsed="false">
      <c r="A1254" s="6" t="str">
        <f aca="false">IF('DATA UNIT'!$B64="","",'DATA UNIT'!$B64)</f>
        <v>KT 8923 YY</v>
      </c>
      <c r="B1254" s="6" t="str">
        <f aca="false">IF($A1254="","",INDEX(PlanningItemsList,13))</f>
        <v>V-Belt</v>
      </c>
      <c r="C1254" s="7"/>
      <c r="D1254" s="7"/>
    </row>
    <row r="1255" customFormat="false" ht="15" hidden="false" customHeight="false" outlineLevel="0" collapsed="false">
      <c r="A1255" s="6" t="str">
        <f aca="false">IF('DATA UNIT'!$B64="","",'DATA UNIT'!$B64)</f>
        <v>KT 8923 YY</v>
      </c>
      <c r="B1255" s="6" t="str">
        <f aca="false">IF($A1255="","",INDEX(PlanningItemsList,14))</f>
        <v>Sarung Jok</v>
      </c>
      <c r="C1255" s="7"/>
      <c r="D1255" s="7"/>
    </row>
    <row r="1256" customFormat="false" ht="15" hidden="false" customHeight="false" outlineLevel="0" collapsed="false">
      <c r="A1256" s="6" t="str">
        <f aca="false">IF('DATA UNIT'!$B64="","",'DATA UNIT'!$B64)</f>
        <v>KT 8923 YY</v>
      </c>
      <c r="B1256" s="6" t="str">
        <f aca="false">IF($A1256="","",INDEX(PlanningItemsList,15))</f>
        <v>Karpet Karet</v>
      </c>
      <c r="C1256" s="7"/>
      <c r="D1256" s="7"/>
    </row>
    <row r="1257" customFormat="false" ht="15" hidden="false" customHeight="false" outlineLevel="0" collapsed="false">
      <c r="A1257" s="6" t="str">
        <f aca="false">IF('DATA UNIT'!$B64="","",'DATA UNIT'!$B64)</f>
        <v>KT 8923 YY</v>
      </c>
      <c r="B1257" s="6" t="str">
        <f aca="false">IF($A1257="","",INDEX(PlanningItemsList,16))</f>
        <v>Karpet Dasar</v>
      </c>
      <c r="C1257" s="7"/>
      <c r="D1257" s="7"/>
    </row>
    <row r="1258" customFormat="false" ht="15" hidden="false" customHeight="false" outlineLevel="0" collapsed="false">
      <c r="A1258" s="6" t="str">
        <f aca="false">IF('DATA UNIT'!$B64="","",'DATA UNIT'!$B64)</f>
        <v>KT 8923 YY</v>
      </c>
      <c r="B1258" s="6" t="str">
        <f aca="false">IF($A1258="","",INDEX(PlanningItemsList,17))</f>
        <v>Flushing Radiator</v>
      </c>
      <c r="C1258" s="7"/>
      <c r="D1258" s="7"/>
    </row>
    <row r="1259" customFormat="false" ht="15" hidden="false" customHeight="false" outlineLevel="0" collapsed="false">
      <c r="A1259" s="6" t="str">
        <f aca="false">IF('DATA UNIT'!$B64="","",'DATA UNIT'!$B64)</f>
        <v>KT 8923 YY</v>
      </c>
      <c r="B1259" s="6" t="str">
        <f aca="false">IF($A1259="","",INDEX(PlanningItemsList,18))</f>
        <v>Flushing Steering</v>
      </c>
      <c r="C1259" s="7"/>
      <c r="D1259" s="7"/>
    </row>
    <row r="1260" customFormat="false" ht="15" hidden="false" customHeight="false" outlineLevel="0" collapsed="false">
      <c r="A1260" s="6" t="str">
        <f aca="false">IF('DATA UNIT'!$B64="","",'DATA UNIT'!$B64)</f>
        <v>KT 8923 YY</v>
      </c>
      <c r="B1260" s="6" t="str">
        <f aca="false">IF($A1260="","",INDEX(PlanningItemsList,19))</f>
        <v>Flushing Injector</v>
      </c>
      <c r="C1260" s="7"/>
      <c r="D1260" s="7"/>
    </row>
    <row r="1261" customFormat="false" ht="15" hidden="false" customHeight="false" outlineLevel="0" collapsed="false">
      <c r="A1261" s="6" t="str">
        <f aca="false">IF('DATA UNIT'!$B64="","",'DATA UNIT'!$B64)</f>
        <v>KT 8923 YY</v>
      </c>
      <c r="B1261" s="6" t="str">
        <f aca="false">IF($A1261="","",INDEX(PlanningItemsList,20))</f>
        <v>Flushing Rem</v>
      </c>
      <c r="C1261" s="7"/>
      <c r="D1261" s="7"/>
    </row>
    <row r="1262" customFormat="false" ht="15" hidden="false" customHeight="false" outlineLevel="0" collapsed="false">
      <c r="A1262" s="6" t="str">
        <f aca="false">IF('DATA UNIT'!$B65="","",'DATA UNIT'!$B65)</f>
        <v>KT 8401 ZA</v>
      </c>
      <c r="B1262" s="6" t="str">
        <f aca="false">IF($A1262="","",INDEX(PlanningItemsList,1))</f>
        <v>PM Check / Reguler Services</v>
      </c>
      <c r="C1262" s="7"/>
      <c r="D1262" s="7"/>
    </row>
    <row r="1263" customFormat="false" ht="15" hidden="false" customHeight="false" outlineLevel="0" collapsed="false">
      <c r="A1263" s="6" t="str">
        <f aca="false">IF('DATA UNIT'!$B65="","",'DATA UNIT'!$B65)</f>
        <v>KT 8401 ZA</v>
      </c>
      <c r="B1263" s="6" t="str">
        <f aca="false">IF($A1263="","",INDEX(PlanningItemsList,2))</f>
        <v>Service A</v>
      </c>
      <c r="C1263" s="7"/>
      <c r="D1263" s="7"/>
    </row>
    <row r="1264" customFormat="false" ht="15" hidden="false" customHeight="false" outlineLevel="0" collapsed="false">
      <c r="A1264" s="6" t="str">
        <f aca="false">IF('DATA UNIT'!$B65="","",'DATA UNIT'!$B65)</f>
        <v>KT 8401 ZA</v>
      </c>
      <c r="B1264" s="6" t="str">
        <f aca="false">IF($A1264="","",INDEX(PlanningItemsList,3))</f>
        <v>Service B</v>
      </c>
      <c r="C1264" s="7"/>
      <c r="D1264" s="7"/>
    </row>
    <row r="1265" customFormat="false" ht="15" hidden="false" customHeight="false" outlineLevel="0" collapsed="false">
      <c r="A1265" s="6" t="str">
        <f aca="false">IF('DATA UNIT'!$B65="","",'DATA UNIT'!$B65)</f>
        <v>KT 8401 ZA</v>
      </c>
      <c r="B1265" s="6" t="str">
        <f aca="false">IF($A1265="","",INDEX(PlanningItemsList,4))</f>
        <v>Brake Pad</v>
      </c>
      <c r="C1265" s="7"/>
      <c r="D1265" s="7"/>
    </row>
    <row r="1266" customFormat="false" ht="15" hidden="false" customHeight="false" outlineLevel="0" collapsed="false">
      <c r="A1266" s="6" t="str">
        <f aca="false">IF('DATA UNIT'!$B65="","",'DATA UNIT'!$B65)</f>
        <v>KT 8401 ZA</v>
      </c>
      <c r="B1266" s="6" t="str">
        <f aca="false">IF($A1266="","",INDEX(PlanningItemsList,5))</f>
        <v>Brake Shoe</v>
      </c>
      <c r="C1266" s="7"/>
      <c r="D1266" s="7"/>
    </row>
    <row r="1267" customFormat="false" ht="15" hidden="false" customHeight="false" outlineLevel="0" collapsed="false">
      <c r="A1267" s="6" t="str">
        <f aca="false">IF('DATA UNIT'!$B65="","",'DATA UNIT'!$B65)</f>
        <v>KT 8401 ZA</v>
      </c>
      <c r="B1267" s="6" t="str">
        <f aca="false">IF($A1267="","",INDEX(PlanningItemsList,6))</f>
        <v>Accu</v>
      </c>
      <c r="C1267" s="7"/>
      <c r="D1267" s="7"/>
    </row>
    <row r="1268" customFormat="false" ht="15" hidden="false" customHeight="false" outlineLevel="0" collapsed="false">
      <c r="A1268" s="6" t="str">
        <f aca="false">IF('DATA UNIT'!$B65="","",'DATA UNIT'!$B65)</f>
        <v>KT 8401 ZA</v>
      </c>
      <c r="B1268" s="6" t="str">
        <f aca="false">IF($A1268="","",INDEX(PlanningItemsList,7))</f>
        <v>Kampas Kopling Set</v>
      </c>
      <c r="C1268" s="7"/>
      <c r="D1268" s="7"/>
    </row>
    <row r="1269" customFormat="false" ht="15" hidden="false" customHeight="false" outlineLevel="0" collapsed="false">
      <c r="A1269" s="6" t="str">
        <f aca="false">IF('DATA UNIT'!$B65="","",'DATA UNIT'!$B65)</f>
        <v>KT 8401 ZA</v>
      </c>
      <c r="B1269" s="6" t="str">
        <f aca="false">IF($A1269="","",INDEX(PlanningItemsList,8))</f>
        <v>Wiper Blade</v>
      </c>
      <c r="C1269" s="7"/>
      <c r="D1269" s="7"/>
    </row>
    <row r="1270" customFormat="false" ht="15" hidden="false" customHeight="false" outlineLevel="0" collapsed="false">
      <c r="A1270" s="6" t="str">
        <f aca="false">IF('DATA UNIT'!$B65="","",'DATA UNIT'!$B65)</f>
        <v>KT 8401 ZA</v>
      </c>
      <c r="B1270" s="6" t="str">
        <f aca="false">IF($A1270="","",INDEX(PlanningItemsList,9))</f>
        <v>Ban Depan</v>
      </c>
      <c r="C1270" s="7"/>
      <c r="D1270" s="7"/>
    </row>
    <row r="1271" customFormat="false" ht="15" hidden="false" customHeight="false" outlineLevel="0" collapsed="false">
      <c r="A1271" s="6" t="str">
        <f aca="false">IF('DATA UNIT'!$B65="","",'DATA UNIT'!$B65)</f>
        <v>KT 8401 ZA</v>
      </c>
      <c r="B1271" s="6" t="str">
        <f aca="false">IF($A1271="","",INDEX(PlanningItemsList,10))</f>
        <v>Ban Belakang</v>
      </c>
      <c r="C1271" s="7"/>
      <c r="D1271" s="7"/>
    </row>
    <row r="1272" customFormat="false" ht="15" hidden="false" customHeight="false" outlineLevel="0" collapsed="false">
      <c r="A1272" s="6" t="str">
        <f aca="false">IF('DATA UNIT'!$B65="","",'DATA UNIT'!$B65)</f>
        <v>KT 8401 ZA</v>
      </c>
      <c r="B1272" s="6" t="str">
        <f aca="false">IF($A1272="","",INDEX(PlanningItemsList,11))</f>
        <v>Ban Serep</v>
      </c>
      <c r="C1272" s="7"/>
      <c r="D1272" s="7"/>
    </row>
    <row r="1273" customFormat="false" ht="15" hidden="false" customHeight="false" outlineLevel="0" collapsed="false">
      <c r="A1273" s="6" t="str">
        <f aca="false">IF('DATA UNIT'!$B65="","",'DATA UNIT'!$B65)</f>
        <v>KT 8401 ZA</v>
      </c>
      <c r="B1273" s="6" t="str">
        <f aca="false">IF($A1273="","",INDEX(PlanningItemsList,12))</f>
        <v>Greasing</v>
      </c>
      <c r="C1273" s="7"/>
      <c r="D1273" s="7"/>
    </row>
    <row r="1274" customFormat="false" ht="15" hidden="false" customHeight="false" outlineLevel="0" collapsed="false">
      <c r="A1274" s="6" t="str">
        <f aca="false">IF('DATA UNIT'!$B65="","",'DATA UNIT'!$B65)</f>
        <v>KT 8401 ZA</v>
      </c>
      <c r="B1274" s="6" t="str">
        <f aca="false">IF($A1274="","",INDEX(PlanningItemsList,13))</f>
        <v>V-Belt</v>
      </c>
      <c r="C1274" s="7"/>
      <c r="D1274" s="7"/>
    </row>
    <row r="1275" customFormat="false" ht="15" hidden="false" customHeight="false" outlineLevel="0" collapsed="false">
      <c r="A1275" s="6" t="str">
        <f aca="false">IF('DATA UNIT'!$B65="","",'DATA UNIT'!$B65)</f>
        <v>KT 8401 ZA</v>
      </c>
      <c r="B1275" s="6" t="str">
        <f aca="false">IF($A1275="","",INDEX(PlanningItemsList,14))</f>
        <v>Sarung Jok</v>
      </c>
      <c r="C1275" s="7"/>
      <c r="D1275" s="7"/>
    </row>
    <row r="1276" customFormat="false" ht="15" hidden="false" customHeight="false" outlineLevel="0" collapsed="false">
      <c r="A1276" s="6" t="str">
        <f aca="false">IF('DATA UNIT'!$B65="","",'DATA UNIT'!$B65)</f>
        <v>KT 8401 ZA</v>
      </c>
      <c r="B1276" s="6" t="str">
        <f aca="false">IF($A1276="","",INDEX(PlanningItemsList,15))</f>
        <v>Karpet Karet</v>
      </c>
      <c r="C1276" s="7"/>
      <c r="D1276" s="7"/>
    </row>
    <row r="1277" customFormat="false" ht="15" hidden="false" customHeight="false" outlineLevel="0" collapsed="false">
      <c r="A1277" s="6" t="str">
        <f aca="false">IF('DATA UNIT'!$B65="","",'DATA UNIT'!$B65)</f>
        <v>KT 8401 ZA</v>
      </c>
      <c r="B1277" s="6" t="str">
        <f aca="false">IF($A1277="","",INDEX(PlanningItemsList,16))</f>
        <v>Karpet Dasar</v>
      </c>
      <c r="C1277" s="7"/>
      <c r="D1277" s="7"/>
    </row>
    <row r="1278" customFormat="false" ht="15" hidden="false" customHeight="false" outlineLevel="0" collapsed="false">
      <c r="A1278" s="6" t="str">
        <f aca="false">IF('DATA UNIT'!$B65="","",'DATA UNIT'!$B65)</f>
        <v>KT 8401 ZA</v>
      </c>
      <c r="B1278" s="6" t="str">
        <f aca="false">IF($A1278="","",INDEX(PlanningItemsList,17))</f>
        <v>Flushing Radiator</v>
      </c>
      <c r="C1278" s="7"/>
      <c r="D1278" s="7"/>
    </row>
    <row r="1279" customFormat="false" ht="15" hidden="false" customHeight="false" outlineLevel="0" collapsed="false">
      <c r="A1279" s="6" t="str">
        <f aca="false">IF('DATA UNIT'!$B65="","",'DATA UNIT'!$B65)</f>
        <v>KT 8401 ZA</v>
      </c>
      <c r="B1279" s="6" t="str">
        <f aca="false">IF($A1279="","",INDEX(PlanningItemsList,18))</f>
        <v>Flushing Steering</v>
      </c>
      <c r="C1279" s="7"/>
      <c r="D1279" s="7"/>
    </row>
    <row r="1280" customFormat="false" ht="15" hidden="false" customHeight="false" outlineLevel="0" collapsed="false">
      <c r="A1280" s="6" t="str">
        <f aca="false">IF('DATA UNIT'!$B65="","",'DATA UNIT'!$B65)</f>
        <v>KT 8401 ZA</v>
      </c>
      <c r="B1280" s="6" t="str">
        <f aca="false">IF($A1280="","",INDEX(PlanningItemsList,19))</f>
        <v>Flushing Injector</v>
      </c>
      <c r="C1280" s="7"/>
      <c r="D1280" s="7"/>
    </row>
    <row r="1281" customFormat="false" ht="15" hidden="false" customHeight="false" outlineLevel="0" collapsed="false">
      <c r="A1281" s="6" t="str">
        <f aca="false">IF('DATA UNIT'!$B65="","",'DATA UNIT'!$B65)</f>
        <v>KT 8401 ZA</v>
      </c>
      <c r="B1281" s="6" t="str">
        <f aca="false">IF($A1281="","",INDEX(PlanningItemsList,20))</f>
        <v>Flushing Rem</v>
      </c>
      <c r="C1281" s="7"/>
      <c r="D1281" s="7"/>
    </row>
    <row r="1282" customFormat="false" ht="15" hidden="false" customHeight="false" outlineLevel="0" collapsed="false">
      <c r="A1282" s="6" t="str">
        <f aca="false">IF('DATA UNIT'!$B66="","",'DATA UNIT'!$B66)</f>
        <v>KT 8665 YS</v>
      </c>
      <c r="B1282" s="6" t="str">
        <f aca="false">IF($A1282="","",INDEX(PlanningItemsList,1))</f>
        <v>PM Check / Reguler Services</v>
      </c>
      <c r="C1282" s="7"/>
      <c r="D1282" s="7"/>
    </row>
    <row r="1283" customFormat="false" ht="15" hidden="false" customHeight="false" outlineLevel="0" collapsed="false">
      <c r="A1283" s="6" t="str">
        <f aca="false">IF('DATA UNIT'!$B66="","",'DATA UNIT'!$B66)</f>
        <v>KT 8665 YS</v>
      </c>
      <c r="B1283" s="6" t="str">
        <f aca="false">IF($A1283="","",INDEX(PlanningItemsList,2))</f>
        <v>Service A</v>
      </c>
      <c r="C1283" s="7"/>
      <c r="D1283" s="7"/>
    </row>
    <row r="1284" customFormat="false" ht="15" hidden="false" customHeight="false" outlineLevel="0" collapsed="false">
      <c r="A1284" s="6" t="str">
        <f aca="false">IF('DATA UNIT'!$B66="","",'DATA UNIT'!$B66)</f>
        <v>KT 8665 YS</v>
      </c>
      <c r="B1284" s="6" t="str">
        <f aca="false">IF($A1284="","",INDEX(PlanningItemsList,3))</f>
        <v>Service B</v>
      </c>
      <c r="C1284" s="7"/>
      <c r="D1284" s="7"/>
    </row>
    <row r="1285" customFormat="false" ht="15" hidden="false" customHeight="false" outlineLevel="0" collapsed="false">
      <c r="A1285" s="6" t="str">
        <f aca="false">IF('DATA UNIT'!$B66="","",'DATA UNIT'!$B66)</f>
        <v>KT 8665 YS</v>
      </c>
      <c r="B1285" s="6" t="str">
        <f aca="false">IF($A1285="","",INDEX(PlanningItemsList,4))</f>
        <v>Brake Pad</v>
      </c>
      <c r="C1285" s="7"/>
      <c r="D1285" s="7"/>
    </row>
    <row r="1286" customFormat="false" ht="15" hidden="false" customHeight="false" outlineLevel="0" collapsed="false">
      <c r="A1286" s="6" t="str">
        <f aca="false">IF('DATA UNIT'!$B66="","",'DATA UNIT'!$B66)</f>
        <v>KT 8665 YS</v>
      </c>
      <c r="B1286" s="6" t="str">
        <f aca="false">IF($A1286="","",INDEX(PlanningItemsList,5))</f>
        <v>Brake Shoe</v>
      </c>
      <c r="C1286" s="7"/>
      <c r="D1286" s="7"/>
    </row>
    <row r="1287" customFormat="false" ht="15" hidden="false" customHeight="false" outlineLevel="0" collapsed="false">
      <c r="A1287" s="6" t="str">
        <f aca="false">IF('DATA UNIT'!$B66="","",'DATA UNIT'!$B66)</f>
        <v>KT 8665 YS</v>
      </c>
      <c r="B1287" s="6" t="str">
        <f aca="false">IF($A1287="","",INDEX(PlanningItemsList,6))</f>
        <v>Accu</v>
      </c>
      <c r="C1287" s="7"/>
      <c r="D1287" s="7"/>
    </row>
    <row r="1288" customFormat="false" ht="15" hidden="false" customHeight="false" outlineLevel="0" collapsed="false">
      <c r="A1288" s="6" t="str">
        <f aca="false">IF('DATA UNIT'!$B66="","",'DATA UNIT'!$B66)</f>
        <v>KT 8665 YS</v>
      </c>
      <c r="B1288" s="6" t="str">
        <f aca="false">IF($A1288="","",INDEX(PlanningItemsList,7))</f>
        <v>Kampas Kopling Set</v>
      </c>
      <c r="C1288" s="7"/>
      <c r="D1288" s="7"/>
    </row>
    <row r="1289" customFormat="false" ht="15" hidden="false" customHeight="false" outlineLevel="0" collapsed="false">
      <c r="A1289" s="6" t="str">
        <f aca="false">IF('DATA UNIT'!$B66="","",'DATA UNIT'!$B66)</f>
        <v>KT 8665 YS</v>
      </c>
      <c r="B1289" s="6" t="str">
        <f aca="false">IF($A1289="","",INDEX(PlanningItemsList,8))</f>
        <v>Wiper Blade</v>
      </c>
      <c r="C1289" s="7"/>
      <c r="D1289" s="7"/>
    </row>
    <row r="1290" customFormat="false" ht="15" hidden="false" customHeight="false" outlineLevel="0" collapsed="false">
      <c r="A1290" s="6" t="str">
        <f aca="false">IF('DATA UNIT'!$B66="","",'DATA UNIT'!$B66)</f>
        <v>KT 8665 YS</v>
      </c>
      <c r="B1290" s="6" t="str">
        <f aca="false">IF($A1290="","",INDEX(PlanningItemsList,9))</f>
        <v>Ban Depan</v>
      </c>
      <c r="C1290" s="7"/>
      <c r="D1290" s="7"/>
    </row>
    <row r="1291" customFormat="false" ht="15" hidden="false" customHeight="false" outlineLevel="0" collapsed="false">
      <c r="A1291" s="6" t="str">
        <f aca="false">IF('DATA UNIT'!$B66="","",'DATA UNIT'!$B66)</f>
        <v>KT 8665 YS</v>
      </c>
      <c r="B1291" s="6" t="str">
        <f aca="false">IF($A1291="","",INDEX(PlanningItemsList,10))</f>
        <v>Ban Belakang</v>
      </c>
      <c r="C1291" s="7"/>
      <c r="D1291" s="7"/>
    </row>
    <row r="1292" customFormat="false" ht="15" hidden="false" customHeight="false" outlineLevel="0" collapsed="false">
      <c r="A1292" s="6" t="str">
        <f aca="false">IF('DATA UNIT'!$B66="","",'DATA UNIT'!$B66)</f>
        <v>KT 8665 YS</v>
      </c>
      <c r="B1292" s="6" t="str">
        <f aca="false">IF($A1292="","",INDEX(PlanningItemsList,11))</f>
        <v>Ban Serep</v>
      </c>
      <c r="C1292" s="7"/>
      <c r="D1292" s="7"/>
    </row>
    <row r="1293" customFormat="false" ht="15" hidden="false" customHeight="false" outlineLevel="0" collapsed="false">
      <c r="A1293" s="6" t="str">
        <f aca="false">IF('DATA UNIT'!$B66="","",'DATA UNIT'!$B66)</f>
        <v>KT 8665 YS</v>
      </c>
      <c r="B1293" s="6" t="str">
        <f aca="false">IF($A1293="","",INDEX(PlanningItemsList,12))</f>
        <v>Greasing</v>
      </c>
      <c r="C1293" s="7"/>
      <c r="D1293" s="7"/>
    </row>
    <row r="1294" customFormat="false" ht="15" hidden="false" customHeight="false" outlineLevel="0" collapsed="false">
      <c r="A1294" s="6" t="str">
        <f aca="false">IF('DATA UNIT'!$B66="","",'DATA UNIT'!$B66)</f>
        <v>KT 8665 YS</v>
      </c>
      <c r="B1294" s="6" t="str">
        <f aca="false">IF($A1294="","",INDEX(PlanningItemsList,13))</f>
        <v>V-Belt</v>
      </c>
      <c r="C1294" s="7"/>
      <c r="D1294" s="7"/>
    </row>
    <row r="1295" customFormat="false" ht="15" hidden="false" customHeight="false" outlineLevel="0" collapsed="false">
      <c r="A1295" s="6" t="str">
        <f aca="false">IF('DATA UNIT'!$B66="","",'DATA UNIT'!$B66)</f>
        <v>KT 8665 YS</v>
      </c>
      <c r="B1295" s="6" t="str">
        <f aca="false">IF($A1295="","",INDEX(PlanningItemsList,14))</f>
        <v>Sarung Jok</v>
      </c>
      <c r="C1295" s="7"/>
      <c r="D1295" s="7"/>
    </row>
    <row r="1296" customFormat="false" ht="15" hidden="false" customHeight="false" outlineLevel="0" collapsed="false">
      <c r="A1296" s="6" t="str">
        <f aca="false">IF('DATA UNIT'!$B66="","",'DATA UNIT'!$B66)</f>
        <v>KT 8665 YS</v>
      </c>
      <c r="B1296" s="6" t="str">
        <f aca="false">IF($A1296="","",INDEX(PlanningItemsList,15))</f>
        <v>Karpet Karet</v>
      </c>
      <c r="C1296" s="7"/>
      <c r="D1296" s="7"/>
    </row>
    <row r="1297" customFormat="false" ht="15" hidden="false" customHeight="false" outlineLevel="0" collapsed="false">
      <c r="A1297" s="6" t="str">
        <f aca="false">IF('DATA UNIT'!$B66="","",'DATA UNIT'!$B66)</f>
        <v>KT 8665 YS</v>
      </c>
      <c r="B1297" s="6" t="str">
        <f aca="false">IF($A1297="","",INDEX(PlanningItemsList,16))</f>
        <v>Karpet Dasar</v>
      </c>
      <c r="C1297" s="7"/>
      <c r="D1297" s="7"/>
    </row>
    <row r="1298" customFormat="false" ht="15" hidden="false" customHeight="false" outlineLevel="0" collapsed="false">
      <c r="A1298" s="6" t="str">
        <f aca="false">IF('DATA UNIT'!$B66="","",'DATA UNIT'!$B66)</f>
        <v>KT 8665 YS</v>
      </c>
      <c r="B1298" s="6" t="str">
        <f aca="false">IF($A1298="","",INDEX(PlanningItemsList,17))</f>
        <v>Flushing Radiator</v>
      </c>
      <c r="C1298" s="7"/>
      <c r="D1298" s="7"/>
    </row>
    <row r="1299" customFormat="false" ht="15" hidden="false" customHeight="false" outlineLevel="0" collapsed="false">
      <c r="A1299" s="6" t="str">
        <f aca="false">IF('DATA UNIT'!$B66="","",'DATA UNIT'!$B66)</f>
        <v>KT 8665 YS</v>
      </c>
      <c r="B1299" s="6" t="str">
        <f aca="false">IF($A1299="","",INDEX(PlanningItemsList,18))</f>
        <v>Flushing Steering</v>
      </c>
      <c r="C1299" s="7"/>
      <c r="D1299" s="7"/>
    </row>
    <row r="1300" customFormat="false" ht="15" hidden="false" customHeight="false" outlineLevel="0" collapsed="false">
      <c r="A1300" s="6" t="str">
        <f aca="false">IF('DATA UNIT'!$B66="","",'DATA UNIT'!$B66)</f>
        <v>KT 8665 YS</v>
      </c>
      <c r="B1300" s="6" t="str">
        <f aca="false">IF($A1300="","",INDEX(PlanningItemsList,19))</f>
        <v>Flushing Injector</v>
      </c>
      <c r="C1300" s="7"/>
      <c r="D1300" s="7"/>
    </row>
    <row r="1301" customFormat="false" ht="15" hidden="false" customHeight="false" outlineLevel="0" collapsed="false">
      <c r="A1301" s="6" t="str">
        <f aca="false">IF('DATA UNIT'!$B66="","",'DATA UNIT'!$B66)</f>
        <v>KT 8665 YS</v>
      </c>
      <c r="B1301" s="6" t="str">
        <f aca="false">IF($A1301="","",INDEX(PlanningItemsList,20))</f>
        <v>Flushing Rem</v>
      </c>
      <c r="C1301" s="7"/>
      <c r="D1301" s="7"/>
    </row>
    <row r="1302" customFormat="false" ht="15" hidden="false" customHeight="false" outlineLevel="0" collapsed="false">
      <c r="A1302" s="6" t="str">
        <f aca="false">IF('DATA UNIT'!$B67="","",'DATA UNIT'!$B67)</f>
        <v>KT 8137 YW</v>
      </c>
      <c r="B1302" s="6" t="str">
        <f aca="false">IF($A1302="","",INDEX(PlanningItemsList,1))</f>
        <v>PM Check / Reguler Services</v>
      </c>
      <c r="C1302" s="7"/>
      <c r="D1302" s="7"/>
    </row>
    <row r="1303" customFormat="false" ht="15" hidden="false" customHeight="false" outlineLevel="0" collapsed="false">
      <c r="A1303" s="6" t="str">
        <f aca="false">IF('DATA UNIT'!$B67="","",'DATA UNIT'!$B67)</f>
        <v>KT 8137 YW</v>
      </c>
      <c r="B1303" s="6" t="str">
        <f aca="false">IF($A1303="","",INDEX(PlanningItemsList,2))</f>
        <v>Service A</v>
      </c>
      <c r="C1303" s="7"/>
      <c r="D1303" s="7"/>
    </row>
    <row r="1304" customFormat="false" ht="15" hidden="false" customHeight="false" outlineLevel="0" collapsed="false">
      <c r="A1304" s="6" t="str">
        <f aca="false">IF('DATA UNIT'!$B67="","",'DATA UNIT'!$B67)</f>
        <v>KT 8137 YW</v>
      </c>
      <c r="B1304" s="6" t="str">
        <f aca="false">IF($A1304="","",INDEX(PlanningItemsList,3))</f>
        <v>Service B</v>
      </c>
      <c r="C1304" s="7"/>
      <c r="D1304" s="7"/>
    </row>
    <row r="1305" customFormat="false" ht="15" hidden="false" customHeight="false" outlineLevel="0" collapsed="false">
      <c r="A1305" s="6" t="str">
        <f aca="false">IF('DATA UNIT'!$B67="","",'DATA UNIT'!$B67)</f>
        <v>KT 8137 YW</v>
      </c>
      <c r="B1305" s="6" t="str">
        <f aca="false">IF($A1305="","",INDEX(PlanningItemsList,4))</f>
        <v>Brake Pad</v>
      </c>
      <c r="C1305" s="7"/>
      <c r="D1305" s="7"/>
    </row>
    <row r="1306" customFormat="false" ht="15" hidden="false" customHeight="false" outlineLevel="0" collapsed="false">
      <c r="A1306" s="6" t="str">
        <f aca="false">IF('DATA UNIT'!$B67="","",'DATA UNIT'!$B67)</f>
        <v>KT 8137 YW</v>
      </c>
      <c r="B1306" s="6" t="str">
        <f aca="false">IF($A1306="","",INDEX(PlanningItemsList,5))</f>
        <v>Brake Shoe</v>
      </c>
      <c r="C1306" s="7"/>
      <c r="D1306" s="7"/>
    </row>
    <row r="1307" customFormat="false" ht="15" hidden="false" customHeight="false" outlineLevel="0" collapsed="false">
      <c r="A1307" s="6" t="str">
        <f aca="false">IF('DATA UNIT'!$B67="","",'DATA UNIT'!$B67)</f>
        <v>KT 8137 YW</v>
      </c>
      <c r="B1307" s="6" t="str">
        <f aca="false">IF($A1307="","",INDEX(PlanningItemsList,6))</f>
        <v>Accu</v>
      </c>
      <c r="C1307" s="7"/>
      <c r="D1307" s="7"/>
    </row>
    <row r="1308" customFormat="false" ht="15" hidden="false" customHeight="false" outlineLevel="0" collapsed="false">
      <c r="A1308" s="6" t="str">
        <f aca="false">IF('DATA UNIT'!$B67="","",'DATA UNIT'!$B67)</f>
        <v>KT 8137 YW</v>
      </c>
      <c r="B1308" s="6" t="str">
        <f aca="false">IF($A1308="","",INDEX(PlanningItemsList,7))</f>
        <v>Kampas Kopling Set</v>
      </c>
      <c r="C1308" s="7"/>
      <c r="D1308" s="7"/>
    </row>
    <row r="1309" customFormat="false" ht="15" hidden="false" customHeight="false" outlineLevel="0" collapsed="false">
      <c r="A1309" s="6" t="str">
        <f aca="false">IF('DATA UNIT'!$B67="","",'DATA UNIT'!$B67)</f>
        <v>KT 8137 YW</v>
      </c>
      <c r="B1309" s="6" t="str">
        <f aca="false">IF($A1309="","",INDEX(PlanningItemsList,8))</f>
        <v>Wiper Blade</v>
      </c>
      <c r="C1309" s="7"/>
      <c r="D1309" s="7"/>
    </row>
    <row r="1310" customFormat="false" ht="15" hidden="false" customHeight="false" outlineLevel="0" collapsed="false">
      <c r="A1310" s="6" t="str">
        <f aca="false">IF('DATA UNIT'!$B67="","",'DATA UNIT'!$B67)</f>
        <v>KT 8137 YW</v>
      </c>
      <c r="B1310" s="6" t="str">
        <f aca="false">IF($A1310="","",INDEX(PlanningItemsList,9))</f>
        <v>Ban Depan</v>
      </c>
      <c r="C1310" s="7"/>
      <c r="D1310" s="7"/>
    </row>
    <row r="1311" customFormat="false" ht="15" hidden="false" customHeight="false" outlineLevel="0" collapsed="false">
      <c r="A1311" s="6" t="str">
        <f aca="false">IF('DATA UNIT'!$B67="","",'DATA UNIT'!$B67)</f>
        <v>KT 8137 YW</v>
      </c>
      <c r="B1311" s="6" t="str">
        <f aca="false">IF($A1311="","",INDEX(PlanningItemsList,10))</f>
        <v>Ban Belakang</v>
      </c>
      <c r="C1311" s="7"/>
      <c r="D1311" s="7"/>
    </row>
    <row r="1312" customFormat="false" ht="15" hidden="false" customHeight="false" outlineLevel="0" collapsed="false">
      <c r="A1312" s="6" t="str">
        <f aca="false">IF('DATA UNIT'!$B67="","",'DATA UNIT'!$B67)</f>
        <v>KT 8137 YW</v>
      </c>
      <c r="B1312" s="6" t="str">
        <f aca="false">IF($A1312="","",INDEX(PlanningItemsList,11))</f>
        <v>Ban Serep</v>
      </c>
      <c r="C1312" s="7"/>
      <c r="D1312" s="7"/>
    </row>
    <row r="1313" customFormat="false" ht="15" hidden="false" customHeight="false" outlineLevel="0" collapsed="false">
      <c r="A1313" s="6" t="str">
        <f aca="false">IF('DATA UNIT'!$B67="","",'DATA UNIT'!$B67)</f>
        <v>KT 8137 YW</v>
      </c>
      <c r="B1313" s="6" t="str">
        <f aca="false">IF($A1313="","",INDEX(PlanningItemsList,12))</f>
        <v>Greasing</v>
      </c>
      <c r="C1313" s="7"/>
      <c r="D1313" s="7"/>
    </row>
    <row r="1314" customFormat="false" ht="15" hidden="false" customHeight="false" outlineLevel="0" collapsed="false">
      <c r="A1314" s="6" t="str">
        <f aca="false">IF('DATA UNIT'!$B67="","",'DATA UNIT'!$B67)</f>
        <v>KT 8137 YW</v>
      </c>
      <c r="B1314" s="6" t="str">
        <f aca="false">IF($A1314="","",INDEX(PlanningItemsList,13))</f>
        <v>V-Belt</v>
      </c>
      <c r="C1314" s="7"/>
      <c r="D1314" s="7"/>
    </row>
    <row r="1315" customFormat="false" ht="15" hidden="false" customHeight="false" outlineLevel="0" collapsed="false">
      <c r="A1315" s="6" t="str">
        <f aca="false">IF('DATA UNIT'!$B67="","",'DATA UNIT'!$B67)</f>
        <v>KT 8137 YW</v>
      </c>
      <c r="B1315" s="6" t="str">
        <f aca="false">IF($A1315="","",INDEX(PlanningItemsList,14))</f>
        <v>Sarung Jok</v>
      </c>
      <c r="C1315" s="7"/>
      <c r="D1315" s="7"/>
    </row>
    <row r="1316" customFormat="false" ht="15" hidden="false" customHeight="false" outlineLevel="0" collapsed="false">
      <c r="A1316" s="6" t="str">
        <f aca="false">IF('DATA UNIT'!$B67="","",'DATA UNIT'!$B67)</f>
        <v>KT 8137 YW</v>
      </c>
      <c r="B1316" s="6" t="str">
        <f aca="false">IF($A1316="","",INDEX(PlanningItemsList,15))</f>
        <v>Karpet Karet</v>
      </c>
      <c r="C1316" s="7"/>
      <c r="D1316" s="7"/>
    </row>
    <row r="1317" customFormat="false" ht="15" hidden="false" customHeight="false" outlineLevel="0" collapsed="false">
      <c r="A1317" s="6" t="str">
        <f aca="false">IF('DATA UNIT'!$B67="","",'DATA UNIT'!$B67)</f>
        <v>KT 8137 YW</v>
      </c>
      <c r="B1317" s="6" t="str">
        <f aca="false">IF($A1317="","",INDEX(PlanningItemsList,16))</f>
        <v>Karpet Dasar</v>
      </c>
      <c r="C1317" s="7"/>
      <c r="D1317" s="7"/>
    </row>
    <row r="1318" customFormat="false" ht="15" hidden="false" customHeight="false" outlineLevel="0" collapsed="false">
      <c r="A1318" s="6" t="str">
        <f aca="false">IF('DATA UNIT'!$B67="","",'DATA UNIT'!$B67)</f>
        <v>KT 8137 YW</v>
      </c>
      <c r="B1318" s="6" t="str">
        <f aca="false">IF($A1318="","",INDEX(PlanningItemsList,17))</f>
        <v>Flushing Radiator</v>
      </c>
      <c r="C1318" s="7"/>
      <c r="D1318" s="7"/>
    </row>
    <row r="1319" customFormat="false" ht="15" hidden="false" customHeight="false" outlineLevel="0" collapsed="false">
      <c r="A1319" s="6" t="str">
        <f aca="false">IF('DATA UNIT'!$B67="","",'DATA UNIT'!$B67)</f>
        <v>KT 8137 YW</v>
      </c>
      <c r="B1319" s="6" t="str">
        <f aca="false">IF($A1319="","",INDEX(PlanningItemsList,18))</f>
        <v>Flushing Steering</v>
      </c>
      <c r="C1319" s="7"/>
      <c r="D1319" s="7"/>
    </row>
    <row r="1320" customFormat="false" ht="15" hidden="false" customHeight="false" outlineLevel="0" collapsed="false">
      <c r="A1320" s="6" t="str">
        <f aca="false">IF('DATA UNIT'!$B67="","",'DATA UNIT'!$B67)</f>
        <v>KT 8137 YW</v>
      </c>
      <c r="B1320" s="6" t="str">
        <f aca="false">IF($A1320="","",INDEX(PlanningItemsList,19))</f>
        <v>Flushing Injector</v>
      </c>
      <c r="C1320" s="7"/>
      <c r="D1320" s="7"/>
    </row>
    <row r="1321" customFormat="false" ht="15" hidden="false" customHeight="false" outlineLevel="0" collapsed="false">
      <c r="A1321" s="6" t="str">
        <f aca="false">IF('DATA UNIT'!$B67="","",'DATA UNIT'!$B67)</f>
        <v>KT 8137 YW</v>
      </c>
      <c r="B1321" s="6" t="str">
        <f aca="false">IF($A1321="","",INDEX(PlanningItemsList,20))</f>
        <v>Flushing Rem</v>
      </c>
      <c r="C1321" s="7"/>
      <c r="D1321" s="7"/>
    </row>
    <row r="1322" customFormat="false" ht="15" hidden="false" customHeight="false" outlineLevel="0" collapsed="false">
      <c r="A1322" s="6" t="str">
        <f aca="false">IF('DATA UNIT'!$B68="","",'DATA UNIT'!$B68)</f>
        <v>KT 8138 YW</v>
      </c>
      <c r="B1322" s="6" t="str">
        <f aca="false">IF($A1322="","",INDEX(PlanningItemsList,1))</f>
        <v>PM Check / Reguler Services</v>
      </c>
      <c r="C1322" s="7"/>
      <c r="D1322" s="7"/>
    </row>
    <row r="1323" customFormat="false" ht="15" hidden="false" customHeight="false" outlineLevel="0" collapsed="false">
      <c r="A1323" s="6" t="str">
        <f aca="false">IF('DATA UNIT'!$B68="","",'DATA UNIT'!$B68)</f>
        <v>KT 8138 YW</v>
      </c>
      <c r="B1323" s="6" t="str">
        <f aca="false">IF($A1323="","",INDEX(PlanningItemsList,2))</f>
        <v>Service A</v>
      </c>
      <c r="C1323" s="7"/>
      <c r="D1323" s="7"/>
    </row>
    <row r="1324" customFormat="false" ht="15" hidden="false" customHeight="false" outlineLevel="0" collapsed="false">
      <c r="A1324" s="6" t="str">
        <f aca="false">IF('DATA UNIT'!$B68="","",'DATA UNIT'!$B68)</f>
        <v>KT 8138 YW</v>
      </c>
      <c r="B1324" s="6" t="str">
        <f aca="false">IF($A1324="","",INDEX(PlanningItemsList,3))</f>
        <v>Service B</v>
      </c>
      <c r="C1324" s="7"/>
      <c r="D1324" s="7"/>
    </row>
    <row r="1325" customFormat="false" ht="15" hidden="false" customHeight="false" outlineLevel="0" collapsed="false">
      <c r="A1325" s="6" t="str">
        <f aca="false">IF('DATA UNIT'!$B68="","",'DATA UNIT'!$B68)</f>
        <v>KT 8138 YW</v>
      </c>
      <c r="B1325" s="6" t="str">
        <f aca="false">IF($A1325="","",INDEX(PlanningItemsList,4))</f>
        <v>Brake Pad</v>
      </c>
      <c r="C1325" s="7"/>
      <c r="D1325" s="7"/>
    </row>
    <row r="1326" customFormat="false" ht="15" hidden="false" customHeight="false" outlineLevel="0" collapsed="false">
      <c r="A1326" s="6" t="str">
        <f aca="false">IF('DATA UNIT'!$B68="","",'DATA UNIT'!$B68)</f>
        <v>KT 8138 YW</v>
      </c>
      <c r="B1326" s="6" t="str">
        <f aca="false">IF($A1326="","",INDEX(PlanningItemsList,5))</f>
        <v>Brake Shoe</v>
      </c>
      <c r="C1326" s="7"/>
      <c r="D1326" s="7"/>
    </row>
    <row r="1327" customFormat="false" ht="15" hidden="false" customHeight="false" outlineLevel="0" collapsed="false">
      <c r="A1327" s="6" t="str">
        <f aca="false">IF('DATA UNIT'!$B68="","",'DATA UNIT'!$B68)</f>
        <v>KT 8138 YW</v>
      </c>
      <c r="B1327" s="6" t="str">
        <f aca="false">IF($A1327="","",INDEX(PlanningItemsList,6))</f>
        <v>Accu</v>
      </c>
      <c r="C1327" s="7"/>
      <c r="D1327" s="7"/>
    </row>
    <row r="1328" customFormat="false" ht="15" hidden="false" customHeight="false" outlineLevel="0" collapsed="false">
      <c r="A1328" s="6" t="str">
        <f aca="false">IF('DATA UNIT'!$B68="","",'DATA UNIT'!$B68)</f>
        <v>KT 8138 YW</v>
      </c>
      <c r="B1328" s="6" t="str">
        <f aca="false">IF($A1328="","",INDEX(PlanningItemsList,7))</f>
        <v>Kampas Kopling Set</v>
      </c>
      <c r="C1328" s="7"/>
      <c r="D1328" s="7"/>
    </row>
    <row r="1329" customFormat="false" ht="15" hidden="false" customHeight="false" outlineLevel="0" collapsed="false">
      <c r="A1329" s="6" t="str">
        <f aca="false">IF('DATA UNIT'!$B68="","",'DATA UNIT'!$B68)</f>
        <v>KT 8138 YW</v>
      </c>
      <c r="B1329" s="6" t="str">
        <f aca="false">IF($A1329="","",INDEX(PlanningItemsList,8))</f>
        <v>Wiper Blade</v>
      </c>
      <c r="C1329" s="7"/>
      <c r="D1329" s="7"/>
    </row>
    <row r="1330" customFormat="false" ht="15" hidden="false" customHeight="false" outlineLevel="0" collapsed="false">
      <c r="A1330" s="6" t="str">
        <f aca="false">IF('DATA UNIT'!$B68="","",'DATA UNIT'!$B68)</f>
        <v>KT 8138 YW</v>
      </c>
      <c r="B1330" s="6" t="str">
        <f aca="false">IF($A1330="","",INDEX(PlanningItemsList,9))</f>
        <v>Ban Depan</v>
      </c>
      <c r="C1330" s="7"/>
      <c r="D1330" s="7"/>
    </row>
    <row r="1331" customFormat="false" ht="15" hidden="false" customHeight="false" outlineLevel="0" collapsed="false">
      <c r="A1331" s="6" t="str">
        <f aca="false">IF('DATA UNIT'!$B68="","",'DATA UNIT'!$B68)</f>
        <v>KT 8138 YW</v>
      </c>
      <c r="B1331" s="6" t="str">
        <f aca="false">IF($A1331="","",INDEX(PlanningItemsList,10))</f>
        <v>Ban Belakang</v>
      </c>
      <c r="C1331" s="7"/>
      <c r="D1331" s="7"/>
    </row>
    <row r="1332" customFormat="false" ht="15" hidden="false" customHeight="false" outlineLevel="0" collapsed="false">
      <c r="A1332" s="6" t="str">
        <f aca="false">IF('DATA UNIT'!$B68="","",'DATA UNIT'!$B68)</f>
        <v>KT 8138 YW</v>
      </c>
      <c r="B1332" s="6" t="str">
        <f aca="false">IF($A1332="","",INDEX(PlanningItemsList,11))</f>
        <v>Ban Serep</v>
      </c>
      <c r="C1332" s="7"/>
      <c r="D1332" s="7"/>
    </row>
    <row r="1333" customFormat="false" ht="15" hidden="false" customHeight="false" outlineLevel="0" collapsed="false">
      <c r="A1333" s="6" t="str">
        <f aca="false">IF('DATA UNIT'!$B68="","",'DATA UNIT'!$B68)</f>
        <v>KT 8138 YW</v>
      </c>
      <c r="B1333" s="6" t="str">
        <f aca="false">IF($A1333="","",INDEX(PlanningItemsList,12))</f>
        <v>Greasing</v>
      </c>
      <c r="C1333" s="7"/>
      <c r="D1333" s="7"/>
    </row>
    <row r="1334" customFormat="false" ht="15" hidden="false" customHeight="false" outlineLevel="0" collapsed="false">
      <c r="A1334" s="6" t="str">
        <f aca="false">IF('DATA UNIT'!$B68="","",'DATA UNIT'!$B68)</f>
        <v>KT 8138 YW</v>
      </c>
      <c r="B1334" s="6" t="str">
        <f aca="false">IF($A1334="","",INDEX(PlanningItemsList,13))</f>
        <v>V-Belt</v>
      </c>
      <c r="C1334" s="7"/>
      <c r="D1334" s="7"/>
    </row>
    <row r="1335" customFormat="false" ht="15" hidden="false" customHeight="false" outlineLevel="0" collapsed="false">
      <c r="A1335" s="6" t="str">
        <f aca="false">IF('DATA UNIT'!$B68="","",'DATA UNIT'!$B68)</f>
        <v>KT 8138 YW</v>
      </c>
      <c r="B1335" s="6" t="str">
        <f aca="false">IF($A1335="","",INDEX(PlanningItemsList,14))</f>
        <v>Sarung Jok</v>
      </c>
      <c r="C1335" s="7"/>
      <c r="D1335" s="7"/>
    </row>
    <row r="1336" customFormat="false" ht="15" hidden="false" customHeight="false" outlineLevel="0" collapsed="false">
      <c r="A1336" s="6" t="str">
        <f aca="false">IF('DATA UNIT'!$B68="","",'DATA UNIT'!$B68)</f>
        <v>KT 8138 YW</v>
      </c>
      <c r="B1336" s="6" t="str">
        <f aca="false">IF($A1336="","",INDEX(PlanningItemsList,15))</f>
        <v>Karpet Karet</v>
      </c>
      <c r="C1336" s="7"/>
      <c r="D1336" s="7"/>
    </row>
    <row r="1337" customFormat="false" ht="15" hidden="false" customHeight="false" outlineLevel="0" collapsed="false">
      <c r="A1337" s="6" t="str">
        <f aca="false">IF('DATA UNIT'!$B68="","",'DATA UNIT'!$B68)</f>
        <v>KT 8138 YW</v>
      </c>
      <c r="B1337" s="6" t="str">
        <f aca="false">IF($A1337="","",INDEX(PlanningItemsList,16))</f>
        <v>Karpet Dasar</v>
      </c>
      <c r="C1337" s="7"/>
      <c r="D1337" s="7"/>
    </row>
    <row r="1338" customFormat="false" ht="15" hidden="false" customHeight="false" outlineLevel="0" collapsed="false">
      <c r="A1338" s="6" t="str">
        <f aca="false">IF('DATA UNIT'!$B68="","",'DATA UNIT'!$B68)</f>
        <v>KT 8138 YW</v>
      </c>
      <c r="B1338" s="6" t="str">
        <f aca="false">IF($A1338="","",INDEX(PlanningItemsList,17))</f>
        <v>Flushing Radiator</v>
      </c>
      <c r="C1338" s="7"/>
      <c r="D1338" s="7"/>
    </row>
    <row r="1339" customFormat="false" ht="15" hidden="false" customHeight="false" outlineLevel="0" collapsed="false">
      <c r="A1339" s="6" t="str">
        <f aca="false">IF('DATA UNIT'!$B68="","",'DATA UNIT'!$B68)</f>
        <v>KT 8138 YW</v>
      </c>
      <c r="B1339" s="6" t="str">
        <f aca="false">IF($A1339="","",INDEX(PlanningItemsList,18))</f>
        <v>Flushing Steering</v>
      </c>
      <c r="C1339" s="7"/>
      <c r="D1339" s="7"/>
    </row>
    <row r="1340" customFormat="false" ht="15" hidden="false" customHeight="false" outlineLevel="0" collapsed="false">
      <c r="A1340" s="6" t="str">
        <f aca="false">IF('DATA UNIT'!$B68="","",'DATA UNIT'!$B68)</f>
        <v>KT 8138 YW</v>
      </c>
      <c r="B1340" s="6" t="str">
        <f aca="false">IF($A1340="","",INDEX(PlanningItemsList,19))</f>
        <v>Flushing Injector</v>
      </c>
      <c r="C1340" s="7"/>
      <c r="D1340" s="7"/>
    </row>
    <row r="1341" customFormat="false" ht="15" hidden="false" customHeight="false" outlineLevel="0" collapsed="false">
      <c r="A1341" s="6" t="str">
        <f aca="false">IF('DATA UNIT'!$B68="","",'DATA UNIT'!$B68)</f>
        <v>KT 8138 YW</v>
      </c>
      <c r="B1341" s="6" t="str">
        <f aca="false">IF($A1341="","",INDEX(PlanningItemsList,20))</f>
        <v>Flushing Rem</v>
      </c>
      <c r="C1341" s="7"/>
      <c r="D1341" s="7"/>
    </row>
    <row r="1342" customFormat="false" ht="15" hidden="false" customHeight="false" outlineLevel="0" collapsed="false">
      <c r="A1342" s="6" t="str">
        <f aca="false">IF('DATA UNIT'!$B69="","",'DATA UNIT'!$B69)</f>
        <v>KT 8328 YW</v>
      </c>
      <c r="B1342" s="6" t="str">
        <f aca="false">IF($A1342="","",INDEX(PlanningItemsList,1))</f>
        <v>PM Check / Reguler Services</v>
      </c>
      <c r="C1342" s="7"/>
      <c r="D1342" s="7"/>
    </row>
    <row r="1343" customFormat="false" ht="15" hidden="false" customHeight="false" outlineLevel="0" collapsed="false">
      <c r="A1343" s="6" t="str">
        <f aca="false">IF('DATA UNIT'!$B69="","",'DATA UNIT'!$B69)</f>
        <v>KT 8328 YW</v>
      </c>
      <c r="B1343" s="6" t="str">
        <f aca="false">IF($A1343="","",INDEX(PlanningItemsList,2))</f>
        <v>Service A</v>
      </c>
      <c r="C1343" s="7"/>
      <c r="D1343" s="7"/>
    </row>
    <row r="1344" customFormat="false" ht="15" hidden="false" customHeight="false" outlineLevel="0" collapsed="false">
      <c r="A1344" s="6" t="str">
        <f aca="false">IF('DATA UNIT'!$B69="","",'DATA UNIT'!$B69)</f>
        <v>KT 8328 YW</v>
      </c>
      <c r="B1344" s="6" t="str">
        <f aca="false">IF($A1344="","",INDEX(PlanningItemsList,3))</f>
        <v>Service B</v>
      </c>
      <c r="C1344" s="7"/>
      <c r="D1344" s="7"/>
    </row>
    <row r="1345" customFormat="false" ht="15" hidden="false" customHeight="false" outlineLevel="0" collapsed="false">
      <c r="A1345" s="6" t="str">
        <f aca="false">IF('DATA UNIT'!$B69="","",'DATA UNIT'!$B69)</f>
        <v>KT 8328 YW</v>
      </c>
      <c r="B1345" s="6" t="str">
        <f aca="false">IF($A1345="","",INDEX(PlanningItemsList,4))</f>
        <v>Brake Pad</v>
      </c>
      <c r="C1345" s="7"/>
      <c r="D1345" s="7"/>
    </row>
    <row r="1346" customFormat="false" ht="15" hidden="false" customHeight="false" outlineLevel="0" collapsed="false">
      <c r="A1346" s="6" t="str">
        <f aca="false">IF('DATA UNIT'!$B69="","",'DATA UNIT'!$B69)</f>
        <v>KT 8328 YW</v>
      </c>
      <c r="B1346" s="6" t="str">
        <f aca="false">IF($A1346="","",INDEX(PlanningItemsList,5))</f>
        <v>Brake Shoe</v>
      </c>
      <c r="C1346" s="7"/>
      <c r="D1346" s="7"/>
    </row>
    <row r="1347" customFormat="false" ht="15" hidden="false" customHeight="false" outlineLevel="0" collapsed="false">
      <c r="A1347" s="6" t="str">
        <f aca="false">IF('DATA UNIT'!$B69="","",'DATA UNIT'!$B69)</f>
        <v>KT 8328 YW</v>
      </c>
      <c r="B1347" s="6" t="str">
        <f aca="false">IF($A1347="","",INDEX(PlanningItemsList,6))</f>
        <v>Accu</v>
      </c>
      <c r="C1347" s="7"/>
      <c r="D1347" s="7"/>
    </row>
    <row r="1348" customFormat="false" ht="15" hidden="false" customHeight="false" outlineLevel="0" collapsed="false">
      <c r="A1348" s="6" t="str">
        <f aca="false">IF('DATA UNIT'!$B69="","",'DATA UNIT'!$B69)</f>
        <v>KT 8328 YW</v>
      </c>
      <c r="B1348" s="6" t="str">
        <f aca="false">IF($A1348="","",INDEX(PlanningItemsList,7))</f>
        <v>Kampas Kopling Set</v>
      </c>
      <c r="C1348" s="7"/>
      <c r="D1348" s="7"/>
    </row>
    <row r="1349" customFormat="false" ht="15" hidden="false" customHeight="false" outlineLevel="0" collapsed="false">
      <c r="A1349" s="6" t="str">
        <f aca="false">IF('DATA UNIT'!$B69="","",'DATA UNIT'!$B69)</f>
        <v>KT 8328 YW</v>
      </c>
      <c r="B1349" s="6" t="str">
        <f aca="false">IF($A1349="","",INDEX(PlanningItemsList,8))</f>
        <v>Wiper Blade</v>
      </c>
      <c r="C1349" s="7"/>
      <c r="D1349" s="7"/>
    </row>
    <row r="1350" customFormat="false" ht="15" hidden="false" customHeight="false" outlineLevel="0" collapsed="false">
      <c r="A1350" s="6" t="str">
        <f aca="false">IF('DATA UNIT'!$B69="","",'DATA UNIT'!$B69)</f>
        <v>KT 8328 YW</v>
      </c>
      <c r="B1350" s="6" t="str">
        <f aca="false">IF($A1350="","",INDEX(PlanningItemsList,9))</f>
        <v>Ban Depan</v>
      </c>
      <c r="C1350" s="7"/>
      <c r="D1350" s="7"/>
    </row>
    <row r="1351" customFormat="false" ht="15" hidden="false" customHeight="false" outlineLevel="0" collapsed="false">
      <c r="A1351" s="6" t="str">
        <f aca="false">IF('DATA UNIT'!$B69="","",'DATA UNIT'!$B69)</f>
        <v>KT 8328 YW</v>
      </c>
      <c r="B1351" s="6" t="str">
        <f aca="false">IF($A1351="","",INDEX(PlanningItemsList,10))</f>
        <v>Ban Belakang</v>
      </c>
      <c r="C1351" s="7"/>
      <c r="D1351" s="7"/>
    </row>
    <row r="1352" customFormat="false" ht="15" hidden="false" customHeight="false" outlineLevel="0" collapsed="false">
      <c r="A1352" s="6" t="str">
        <f aca="false">IF('DATA UNIT'!$B69="","",'DATA UNIT'!$B69)</f>
        <v>KT 8328 YW</v>
      </c>
      <c r="B1352" s="6" t="str">
        <f aca="false">IF($A1352="","",INDEX(PlanningItemsList,11))</f>
        <v>Ban Serep</v>
      </c>
      <c r="C1352" s="7"/>
      <c r="D1352" s="7"/>
    </row>
    <row r="1353" customFormat="false" ht="15" hidden="false" customHeight="false" outlineLevel="0" collapsed="false">
      <c r="A1353" s="6" t="str">
        <f aca="false">IF('DATA UNIT'!$B69="","",'DATA UNIT'!$B69)</f>
        <v>KT 8328 YW</v>
      </c>
      <c r="B1353" s="6" t="str">
        <f aca="false">IF($A1353="","",INDEX(PlanningItemsList,12))</f>
        <v>Greasing</v>
      </c>
      <c r="C1353" s="7"/>
      <c r="D1353" s="7"/>
    </row>
    <row r="1354" customFormat="false" ht="15" hidden="false" customHeight="false" outlineLevel="0" collapsed="false">
      <c r="A1354" s="6" t="str">
        <f aca="false">IF('DATA UNIT'!$B69="","",'DATA UNIT'!$B69)</f>
        <v>KT 8328 YW</v>
      </c>
      <c r="B1354" s="6" t="str">
        <f aca="false">IF($A1354="","",INDEX(PlanningItemsList,13))</f>
        <v>V-Belt</v>
      </c>
      <c r="C1354" s="7"/>
      <c r="D1354" s="7"/>
    </row>
    <row r="1355" customFormat="false" ht="15" hidden="false" customHeight="false" outlineLevel="0" collapsed="false">
      <c r="A1355" s="6" t="str">
        <f aca="false">IF('DATA UNIT'!$B69="","",'DATA UNIT'!$B69)</f>
        <v>KT 8328 YW</v>
      </c>
      <c r="B1355" s="6" t="str">
        <f aca="false">IF($A1355="","",INDEX(PlanningItemsList,14))</f>
        <v>Sarung Jok</v>
      </c>
      <c r="C1355" s="7"/>
      <c r="D1355" s="7"/>
    </row>
    <row r="1356" customFormat="false" ht="15" hidden="false" customHeight="false" outlineLevel="0" collapsed="false">
      <c r="A1356" s="6" t="str">
        <f aca="false">IF('DATA UNIT'!$B69="","",'DATA UNIT'!$B69)</f>
        <v>KT 8328 YW</v>
      </c>
      <c r="B1356" s="6" t="str">
        <f aca="false">IF($A1356="","",INDEX(PlanningItemsList,15))</f>
        <v>Karpet Karet</v>
      </c>
      <c r="C1356" s="7"/>
      <c r="D1356" s="7"/>
    </row>
    <row r="1357" customFormat="false" ht="15" hidden="false" customHeight="false" outlineLevel="0" collapsed="false">
      <c r="A1357" s="6" t="str">
        <f aca="false">IF('DATA UNIT'!$B69="","",'DATA UNIT'!$B69)</f>
        <v>KT 8328 YW</v>
      </c>
      <c r="B1357" s="6" t="str">
        <f aca="false">IF($A1357="","",INDEX(PlanningItemsList,16))</f>
        <v>Karpet Dasar</v>
      </c>
      <c r="C1357" s="7"/>
      <c r="D1357" s="7"/>
    </row>
    <row r="1358" customFormat="false" ht="15" hidden="false" customHeight="false" outlineLevel="0" collapsed="false">
      <c r="A1358" s="6" t="str">
        <f aca="false">IF('DATA UNIT'!$B69="","",'DATA UNIT'!$B69)</f>
        <v>KT 8328 YW</v>
      </c>
      <c r="B1358" s="6" t="str">
        <f aca="false">IF($A1358="","",INDEX(PlanningItemsList,17))</f>
        <v>Flushing Radiator</v>
      </c>
      <c r="C1358" s="7"/>
      <c r="D1358" s="7"/>
    </row>
    <row r="1359" customFormat="false" ht="15" hidden="false" customHeight="false" outlineLevel="0" collapsed="false">
      <c r="A1359" s="6" t="str">
        <f aca="false">IF('DATA UNIT'!$B69="","",'DATA UNIT'!$B69)</f>
        <v>KT 8328 YW</v>
      </c>
      <c r="B1359" s="6" t="str">
        <f aca="false">IF($A1359="","",INDEX(PlanningItemsList,18))</f>
        <v>Flushing Steering</v>
      </c>
      <c r="C1359" s="7"/>
      <c r="D1359" s="7"/>
    </row>
    <row r="1360" customFormat="false" ht="15" hidden="false" customHeight="false" outlineLevel="0" collapsed="false">
      <c r="A1360" s="6" t="str">
        <f aca="false">IF('DATA UNIT'!$B69="","",'DATA UNIT'!$B69)</f>
        <v>KT 8328 YW</v>
      </c>
      <c r="B1360" s="6" t="str">
        <f aca="false">IF($A1360="","",INDEX(PlanningItemsList,19))</f>
        <v>Flushing Injector</v>
      </c>
      <c r="C1360" s="7"/>
      <c r="D1360" s="7"/>
    </row>
    <row r="1361" customFormat="false" ht="15" hidden="false" customHeight="false" outlineLevel="0" collapsed="false">
      <c r="A1361" s="6" t="str">
        <f aca="false">IF('DATA UNIT'!$B69="","",'DATA UNIT'!$B69)</f>
        <v>KT 8328 YW</v>
      </c>
      <c r="B1361" s="6" t="str">
        <f aca="false">IF($A1361="","",INDEX(PlanningItemsList,20))</f>
        <v>Flushing Rem</v>
      </c>
      <c r="C1361" s="7"/>
      <c r="D1361" s="7"/>
    </row>
    <row r="1362" customFormat="false" ht="15" hidden="false" customHeight="false" outlineLevel="0" collapsed="false">
      <c r="A1362" s="6" t="str">
        <f aca="false">IF('DATA UNIT'!$B70="","",'DATA UNIT'!$B70)</f>
        <v>KT 8329 YW</v>
      </c>
      <c r="B1362" s="6" t="str">
        <f aca="false">IF($A1362="","",INDEX(PlanningItemsList,1))</f>
        <v>PM Check / Reguler Services</v>
      </c>
      <c r="C1362" s="7"/>
      <c r="D1362" s="7"/>
    </row>
    <row r="1363" customFormat="false" ht="15" hidden="false" customHeight="false" outlineLevel="0" collapsed="false">
      <c r="A1363" s="6" t="str">
        <f aca="false">IF('DATA UNIT'!$B70="","",'DATA UNIT'!$B70)</f>
        <v>KT 8329 YW</v>
      </c>
      <c r="B1363" s="6" t="str">
        <f aca="false">IF($A1363="","",INDEX(PlanningItemsList,2))</f>
        <v>Service A</v>
      </c>
      <c r="C1363" s="7"/>
      <c r="D1363" s="7"/>
    </row>
    <row r="1364" customFormat="false" ht="15" hidden="false" customHeight="false" outlineLevel="0" collapsed="false">
      <c r="A1364" s="6" t="str">
        <f aca="false">IF('DATA UNIT'!$B70="","",'DATA UNIT'!$B70)</f>
        <v>KT 8329 YW</v>
      </c>
      <c r="B1364" s="6" t="str">
        <f aca="false">IF($A1364="","",INDEX(PlanningItemsList,3))</f>
        <v>Service B</v>
      </c>
      <c r="C1364" s="7"/>
      <c r="D1364" s="7"/>
    </row>
    <row r="1365" customFormat="false" ht="15" hidden="false" customHeight="false" outlineLevel="0" collapsed="false">
      <c r="A1365" s="6" t="str">
        <f aca="false">IF('DATA UNIT'!$B70="","",'DATA UNIT'!$B70)</f>
        <v>KT 8329 YW</v>
      </c>
      <c r="B1365" s="6" t="str">
        <f aca="false">IF($A1365="","",INDEX(PlanningItemsList,4))</f>
        <v>Brake Pad</v>
      </c>
      <c r="C1365" s="7"/>
      <c r="D1365" s="7"/>
    </row>
    <row r="1366" customFormat="false" ht="15" hidden="false" customHeight="false" outlineLevel="0" collapsed="false">
      <c r="A1366" s="6" t="str">
        <f aca="false">IF('DATA UNIT'!$B70="","",'DATA UNIT'!$B70)</f>
        <v>KT 8329 YW</v>
      </c>
      <c r="B1366" s="6" t="str">
        <f aca="false">IF($A1366="","",INDEX(PlanningItemsList,5))</f>
        <v>Brake Shoe</v>
      </c>
      <c r="C1366" s="7"/>
      <c r="D1366" s="7"/>
    </row>
    <row r="1367" customFormat="false" ht="15" hidden="false" customHeight="false" outlineLevel="0" collapsed="false">
      <c r="A1367" s="6" t="str">
        <f aca="false">IF('DATA UNIT'!$B70="","",'DATA UNIT'!$B70)</f>
        <v>KT 8329 YW</v>
      </c>
      <c r="B1367" s="6" t="str">
        <f aca="false">IF($A1367="","",INDEX(PlanningItemsList,6))</f>
        <v>Accu</v>
      </c>
      <c r="C1367" s="7"/>
      <c r="D1367" s="7"/>
    </row>
    <row r="1368" customFormat="false" ht="15" hidden="false" customHeight="false" outlineLevel="0" collapsed="false">
      <c r="A1368" s="6" t="str">
        <f aca="false">IF('DATA UNIT'!$B70="","",'DATA UNIT'!$B70)</f>
        <v>KT 8329 YW</v>
      </c>
      <c r="B1368" s="6" t="str">
        <f aca="false">IF($A1368="","",INDEX(PlanningItemsList,7))</f>
        <v>Kampas Kopling Set</v>
      </c>
      <c r="C1368" s="7"/>
      <c r="D1368" s="7"/>
    </row>
    <row r="1369" customFormat="false" ht="15" hidden="false" customHeight="false" outlineLevel="0" collapsed="false">
      <c r="A1369" s="6" t="str">
        <f aca="false">IF('DATA UNIT'!$B70="","",'DATA UNIT'!$B70)</f>
        <v>KT 8329 YW</v>
      </c>
      <c r="B1369" s="6" t="str">
        <f aca="false">IF($A1369="","",INDEX(PlanningItemsList,8))</f>
        <v>Wiper Blade</v>
      </c>
      <c r="C1369" s="7"/>
      <c r="D1369" s="7"/>
    </row>
    <row r="1370" customFormat="false" ht="15" hidden="false" customHeight="false" outlineLevel="0" collapsed="false">
      <c r="A1370" s="6" t="str">
        <f aca="false">IF('DATA UNIT'!$B70="","",'DATA UNIT'!$B70)</f>
        <v>KT 8329 YW</v>
      </c>
      <c r="B1370" s="6" t="str">
        <f aca="false">IF($A1370="","",INDEX(PlanningItemsList,9))</f>
        <v>Ban Depan</v>
      </c>
      <c r="C1370" s="7"/>
      <c r="D1370" s="7"/>
    </row>
    <row r="1371" customFormat="false" ht="15" hidden="false" customHeight="false" outlineLevel="0" collapsed="false">
      <c r="A1371" s="6" t="str">
        <f aca="false">IF('DATA UNIT'!$B70="","",'DATA UNIT'!$B70)</f>
        <v>KT 8329 YW</v>
      </c>
      <c r="B1371" s="6" t="str">
        <f aca="false">IF($A1371="","",INDEX(PlanningItemsList,10))</f>
        <v>Ban Belakang</v>
      </c>
      <c r="C1371" s="7"/>
      <c r="D1371" s="7"/>
    </row>
    <row r="1372" customFormat="false" ht="15" hidden="false" customHeight="false" outlineLevel="0" collapsed="false">
      <c r="A1372" s="6" t="str">
        <f aca="false">IF('DATA UNIT'!$B70="","",'DATA UNIT'!$B70)</f>
        <v>KT 8329 YW</v>
      </c>
      <c r="B1372" s="6" t="str">
        <f aca="false">IF($A1372="","",INDEX(PlanningItemsList,11))</f>
        <v>Ban Serep</v>
      </c>
      <c r="C1372" s="7"/>
      <c r="D1372" s="7"/>
    </row>
    <row r="1373" customFormat="false" ht="15" hidden="false" customHeight="false" outlineLevel="0" collapsed="false">
      <c r="A1373" s="6" t="str">
        <f aca="false">IF('DATA UNIT'!$B70="","",'DATA UNIT'!$B70)</f>
        <v>KT 8329 YW</v>
      </c>
      <c r="B1373" s="6" t="str">
        <f aca="false">IF($A1373="","",INDEX(PlanningItemsList,12))</f>
        <v>Greasing</v>
      </c>
      <c r="C1373" s="7"/>
      <c r="D1373" s="7"/>
    </row>
    <row r="1374" customFormat="false" ht="15" hidden="false" customHeight="false" outlineLevel="0" collapsed="false">
      <c r="A1374" s="6" t="str">
        <f aca="false">IF('DATA UNIT'!$B70="","",'DATA UNIT'!$B70)</f>
        <v>KT 8329 YW</v>
      </c>
      <c r="B1374" s="6" t="str">
        <f aca="false">IF($A1374="","",INDEX(PlanningItemsList,13))</f>
        <v>V-Belt</v>
      </c>
      <c r="C1374" s="7"/>
      <c r="D1374" s="7"/>
    </row>
    <row r="1375" customFormat="false" ht="15" hidden="false" customHeight="false" outlineLevel="0" collapsed="false">
      <c r="A1375" s="6" t="str">
        <f aca="false">IF('DATA UNIT'!$B70="","",'DATA UNIT'!$B70)</f>
        <v>KT 8329 YW</v>
      </c>
      <c r="B1375" s="6" t="str">
        <f aca="false">IF($A1375="","",INDEX(PlanningItemsList,14))</f>
        <v>Sarung Jok</v>
      </c>
      <c r="C1375" s="7"/>
      <c r="D1375" s="7"/>
    </row>
    <row r="1376" customFormat="false" ht="15" hidden="false" customHeight="false" outlineLevel="0" collapsed="false">
      <c r="A1376" s="6" t="str">
        <f aca="false">IF('DATA UNIT'!$B70="","",'DATA UNIT'!$B70)</f>
        <v>KT 8329 YW</v>
      </c>
      <c r="B1376" s="6" t="str">
        <f aca="false">IF($A1376="","",INDEX(PlanningItemsList,15))</f>
        <v>Karpet Karet</v>
      </c>
      <c r="C1376" s="7"/>
      <c r="D1376" s="7"/>
    </row>
    <row r="1377" customFormat="false" ht="15" hidden="false" customHeight="false" outlineLevel="0" collapsed="false">
      <c r="A1377" s="6" t="str">
        <f aca="false">IF('DATA UNIT'!$B70="","",'DATA UNIT'!$B70)</f>
        <v>KT 8329 YW</v>
      </c>
      <c r="B1377" s="6" t="str">
        <f aca="false">IF($A1377="","",INDEX(PlanningItemsList,16))</f>
        <v>Karpet Dasar</v>
      </c>
      <c r="C1377" s="7"/>
      <c r="D1377" s="7"/>
    </row>
    <row r="1378" customFormat="false" ht="15" hidden="false" customHeight="false" outlineLevel="0" collapsed="false">
      <c r="A1378" s="6" t="str">
        <f aca="false">IF('DATA UNIT'!$B70="","",'DATA UNIT'!$B70)</f>
        <v>KT 8329 YW</v>
      </c>
      <c r="B1378" s="6" t="str">
        <f aca="false">IF($A1378="","",INDEX(PlanningItemsList,17))</f>
        <v>Flushing Radiator</v>
      </c>
      <c r="C1378" s="7"/>
      <c r="D1378" s="7"/>
    </row>
    <row r="1379" customFormat="false" ht="15" hidden="false" customHeight="false" outlineLevel="0" collapsed="false">
      <c r="A1379" s="6" t="str">
        <f aca="false">IF('DATA UNIT'!$B70="","",'DATA UNIT'!$B70)</f>
        <v>KT 8329 YW</v>
      </c>
      <c r="B1379" s="6" t="str">
        <f aca="false">IF($A1379="","",INDEX(PlanningItemsList,18))</f>
        <v>Flushing Steering</v>
      </c>
      <c r="C1379" s="7"/>
      <c r="D1379" s="7"/>
    </row>
    <row r="1380" customFormat="false" ht="15" hidden="false" customHeight="false" outlineLevel="0" collapsed="false">
      <c r="A1380" s="6" t="str">
        <f aca="false">IF('DATA UNIT'!$B70="","",'DATA UNIT'!$B70)</f>
        <v>KT 8329 YW</v>
      </c>
      <c r="B1380" s="6" t="str">
        <f aca="false">IF($A1380="","",INDEX(PlanningItemsList,19))</f>
        <v>Flushing Injector</v>
      </c>
      <c r="C1380" s="7"/>
      <c r="D1380" s="7"/>
    </row>
    <row r="1381" customFormat="false" ht="15" hidden="false" customHeight="false" outlineLevel="0" collapsed="false">
      <c r="A1381" s="6" t="str">
        <f aca="false">IF('DATA UNIT'!$B70="","",'DATA UNIT'!$B70)</f>
        <v>KT 8329 YW</v>
      </c>
      <c r="B1381" s="6" t="str">
        <f aca="false">IF($A1381="","",INDEX(PlanningItemsList,20))</f>
        <v>Flushing Rem</v>
      </c>
      <c r="C1381" s="7"/>
      <c r="D1381" s="7"/>
    </row>
    <row r="1382" customFormat="false" ht="15" hidden="false" customHeight="false" outlineLevel="0" collapsed="false">
      <c r="A1382" s="6" t="str">
        <f aca="false">IF('DATA UNIT'!$B71="","",'DATA UNIT'!$B71)</f>
        <v>KT 8785 YW</v>
      </c>
      <c r="B1382" s="6" t="str">
        <f aca="false">IF($A1382="","",INDEX(PlanningItemsList,1))</f>
        <v>PM Check / Reguler Services</v>
      </c>
      <c r="C1382" s="7"/>
      <c r="D1382" s="7"/>
    </row>
    <row r="1383" customFormat="false" ht="15" hidden="false" customHeight="false" outlineLevel="0" collapsed="false">
      <c r="A1383" s="6" t="str">
        <f aca="false">IF('DATA UNIT'!$B71="","",'DATA UNIT'!$B71)</f>
        <v>KT 8785 YW</v>
      </c>
      <c r="B1383" s="6" t="str">
        <f aca="false">IF($A1383="","",INDEX(PlanningItemsList,2))</f>
        <v>Service A</v>
      </c>
      <c r="C1383" s="7"/>
      <c r="D1383" s="7"/>
    </row>
    <row r="1384" customFormat="false" ht="15" hidden="false" customHeight="false" outlineLevel="0" collapsed="false">
      <c r="A1384" s="6" t="str">
        <f aca="false">IF('DATA UNIT'!$B71="","",'DATA UNIT'!$B71)</f>
        <v>KT 8785 YW</v>
      </c>
      <c r="B1384" s="6" t="str">
        <f aca="false">IF($A1384="","",INDEX(PlanningItemsList,3))</f>
        <v>Service B</v>
      </c>
      <c r="C1384" s="7"/>
      <c r="D1384" s="7"/>
    </row>
    <row r="1385" customFormat="false" ht="15" hidden="false" customHeight="false" outlineLevel="0" collapsed="false">
      <c r="A1385" s="6" t="str">
        <f aca="false">IF('DATA UNIT'!$B71="","",'DATA UNIT'!$B71)</f>
        <v>KT 8785 YW</v>
      </c>
      <c r="B1385" s="6" t="str">
        <f aca="false">IF($A1385="","",INDEX(PlanningItemsList,4))</f>
        <v>Brake Pad</v>
      </c>
      <c r="C1385" s="7"/>
      <c r="D1385" s="7"/>
    </row>
    <row r="1386" customFormat="false" ht="15" hidden="false" customHeight="false" outlineLevel="0" collapsed="false">
      <c r="A1386" s="6" t="str">
        <f aca="false">IF('DATA UNIT'!$B71="","",'DATA UNIT'!$B71)</f>
        <v>KT 8785 YW</v>
      </c>
      <c r="B1386" s="6" t="str">
        <f aca="false">IF($A1386="","",INDEX(PlanningItemsList,5))</f>
        <v>Brake Shoe</v>
      </c>
      <c r="C1386" s="7"/>
      <c r="D1386" s="7"/>
    </row>
    <row r="1387" customFormat="false" ht="15" hidden="false" customHeight="false" outlineLevel="0" collapsed="false">
      <c r="A1387" s="6" t="str">
        <f aca="false">IF('DATA UNIT'!$B71="","",'DATA UNIT'!$B71)</f>
        <v>KT 8785 YW</v>
      </c>
      <c r="B1387" s="6" t="str">
        <f aca="false">IF($A1387="","",INDEX(PlanningItemsList,6))</f>
        <v>Accu</v>
      </c>
      <c r="C1387" s="7"/>
      <c r="D1387" s="7"/>
    </row>
    <row r="1388" customFormat="false" ht="15" hidden="false" customHeight="false" outlineLevel="0" collapsed="false">
      <c r="A1388" s="6" t="str">
        <f aca="false">IF('DATA UNIT'!$B71="","",'DATA UNIT'!$B71)</f>
        <v>KT 8785 YW</v>
      </c>
      <c r="B1388" s="6" t="str">
        <f aca="false">IF($A1388="","",INDEX(PlanningItemsList,7))</f>
        <v>Kampas Kopling Set</v>
      </c>
      <c r="C1388" s="7"/>
      <c r="D1388" s="7"/>
    </row>
    <row r="1389" customFormat="false" ht="15" hidden="false" customHeight="false" outlineLevel="0" collapsed="false">
      <c r="A1389" s="6" t="str">
        <f aca="false">IF('DATA UNIT'!$B71="","",'DATA UNIT'!$B71)</f>
        <v>KT 8785 YW</v>
      </c>
      <c r="B1389" s="6" t="str">
        <f aca="false">IF($A1389="","",INDEX(PlanningItemsList,8))</f>
        <v>Wiper Blade</v>
      </c>
      <c r="C1389" s="7"/>
      <c r="D1389" s="7"/>
    </row>
    <row r="1390" customFormat="false" ht="15" hidden="false" customHeight="false" outlineLevel="0" collapsed="false">
      <c r="A1390" s="6" t="str">
        <f aca="false">IF('DATA UNIT'!$B71="","",'DATA UNIT'!$B71)</f>
        <v>KT 8785 YW</v>
      </c>
      <c r="B1390" s="6" t="str">
        <f aca="false">IF($A1390="","",INDEX(PlanningItemsList,9))</f>
        <v>Ban Depan</v>
      </c>
      <c r="C1390" s="7"/>
      <c r="D1390" s="7"/>
    </row>
    <row r="1391" customFormat="false" ht="15" hidden="false" customHeight="false" outlineLevel="0" collapsed="false">
      <c r="A1391" s="6" t="str">
        <f aca="false">IF('DATA UNIT'!$B71="","",'DATA UNIT'!$B71)</f>
        <v>KT 8785 YW</v>
      </c>
      <c r="B1391" s="6" t="str">
        <f aca="false">IF($A1391="","",INDEX(PlanningItemsList,10))</f>
        <v>Ban Belakang</v>
      </c>
      <c r="C1391" s="7"/>
      <c r="D1391" s="7"/>
    </row>
    <row r="1392" customFormat="false" ht="15" hidden="false" customHeight="false" outlineLevel="0" collapsed="false">
      <c r="A1392" s="6" t="str">
        <f aca="false">IF('DATA UNIT'!$B71="","",'DATA UNIT'!$B71)</f>
        <v>KT 8785 YW</v>
      </c>
      <c r="B1392" s="6" t="str">
        <f aca="false">IF($A1392="","",INDEX(PlanningItemsList,11))</f>
        <v>Ban Serep</v>
      </c>
      <c r="C1392" s="7"/>
      <c r="D1392" s="7"/>
    </row>
    <row r="1393" customFormat="false" ht="15" hidden="false" customHeight="false" outlineLevel="0" collapsed="false">
      <c r="A1393" s="6" t="str">
        <f aca="false">IF('DATA UNIT'!$B71="","",'DATA UNIT'!$B71)</f>
        <v>KT 8785 YW</v>
      </c>
      <c r="B1393" s="6" t="str">
        <f aca="false">IF($A1393="","",INDEX(PlanningItemsList,12))</f>
        <v>Greasing</v>
      </c>
      <c r="C1393" s="7"/>
      <c r="D1393" s="7"/>
    </row>
    <row r="1394" customFormat="false" ht="15" hidden="false" customHeight="false" outlineLevel="0" collapsed="false">
      <c r="A1394" s="6" t="str">
        <f aca="false">IF('DATA UNIT'!$B71="","",'DATA UNIT'!$B71)</f>
        <v>KT 8785 YW</v>
      </c>
      <c r="B1394" s="6" t="str">
        <f aca="false">IF($A1394="","",INDEX(PlanningItemsList,13))</f>
        <v>V-Belt</v>
      </c>
      <c r="C1394" s="7"/>
      <c r="D1394" s="7"/>
    </row>
    <row r="1395" customFormat="false" ht="15" hidden="false" customHeight="false" outlineLevel="0" collapsed="false">
      <c r="A1395" s="6" t="str">
        <f aca="false">IF('DATA UNIT'!$B71="","",'DATA UNIT'!$B71)</f>
        <v>KT 8785 YW</v>
      </c>
      <c r="B1395" s="6" t="str">
        <f aca="false">IF($A1395="","",INDEX(PlanningItemsList,14))</f>
        <v>Sarung Jok</v>
      </c>
      <c r="C1395" s="7"/>
      <c r="D1395" s="7"/>
    </row>
    <row r="1396" customFormat="false" ht="15" hidden="false" customHeight="false" outlineLevel="0" collapsed="false">
      <c r="A1396" s="6" t="str">
        <f aca="false">IF('DATA UNIT'!$B71="","",'DATA UNIT'!$B71)</f>
        <v>KT 8785 YW</v>
      </c>
      <c r="B1396" s="6" t="str">
        <f aca="false">IF($A1396="","",INDEX(PlanningItemsList,15))</f>
        <v>Karpet Karet</v>
      </c>
      <c r="C1396" s="7"/>
      <c r="D1396" s="7"/>
    </row>
    <row r="1397" customFormat="false" ht="15" hidden="false" customHeight="false" outlineLevel="0" collapsed="false">
      <c r="A1397" s="6" t="str">
        <f aca="false">IF('DATA UNIT'!$B71="","",'DATA UNIT'!$B71)</f>
        <v>KT 8785 YW</v>
      </c>
      <c r="B1397" s="6" t="str">
        <f aca="false">IF($A1397="","",INDEX(PlanningItemsList,16))</f>
        <v>Karpet Dasar</v>
      </c>
      <c r="C1397" s="7"/>
      <c r="D1397" s="7"/>
    </row>
    <row r="1398" customFormat="false" ht="15" hidden="false" customHeight="false" outlineLevel="0" collapsed="false">
      <c r="A1398" s="6" t="str">
        <f aca="false">IF('DATA UNIT'!$B71="","",'DATA UNIT'!$B71)</f>
        <v>KT 8785 YW</v>
      </c>
      <c r="B1398" s="6" t="str">
        <f aca="false">IF($A1398="","",INDEX(PlanningItemsList,17))</f>
        <v>Flushing Radiator</v>
      </c>
      <c r="C1398" s="7"/>
      <c r="D1398" s="7"/>
    </row>
    <row r="1399" customFormat="false" ht="15" hidden="false" customHeight="false" outlineLevel="0" collapsed="false">
      <c r="A1399" s="6" t="str">
        <f aca="false">IF('DATA UNIT'!$B71="","",'DATA UNIT'!$B71)</f>
        <v>KT 8785 YW</v>
      </c>
      <c r="B1399" s="6" t="str">
        <f aca="false">IF($A1399="","",INDEX(PlanningItemsList,18))</f>
        <v>Flushing Steering</v>
      </c>
      <c r="C1399" s="7"/>
      <c r="D1399" s="7"/>
    </row>
    <row r="1400" customFormat="false" ht="15" hidden="false" customHeight="false" outlineLevel="0" collapsed="false">
      <c r="A1400" s="6" t="str">
        <f aca="false">IF('DATA UNIT'!$B71="","",'DATA UNIT'!$B71)</f>
        <v>KT 8785 YW</v>
      </c>
      <c r="B1400" s="6" t="str">
        <f aca="false">IF($A1400="","",INDEX(PlanningItemsList,19))</f>
        <v>Flushing Injector</v>
      </c>
      <c r="C1400" s="7"/>
      <c r="D1400" s="7"/>
    </row>
    <row r="1401" customFormat="false" ht="15" hidden="false" customHeight="false" outlineLevel="0" collapsed="false">
      <c r="A1401" s="6" t="str">
        <f aca="false">IF('DATA UNIT'!$B71="","",'DATA UNIT'!$B71)</f>
        <v>KT 8785 YW</v>
      </c>
      <c r="B1401" s="6" t="str">
        <f aca="false">IF($A1401="","",INDEX(PlanningItemsList,20))</f>
        <v>Flushing Rem</v>
      </c>
      <c r="C1401" s="7"/>
      <c r="D1401" s="7"/>
    </row>
    <row r="1402" customFormat="false" ht="15" hidden="false" customHeight="false" outlineLevel="0" collapsed="false">
      <c r="A1402" s="6" t="str">
        <f aca="false">IF('DATA UNIT'!$B72="","",'DATA UNIT'!$B72)</f>
        <v>KT 8622 YY</v>
      </c>
      <c r="B1402" s="6" t="str">
        <f aca="false">IF($A1402="","",INDEX(PlanningItemsList,1))</f>
        <v>PM Check / Reguler Services</v>
      </c>
      <c r="C1402" s="7"/>
      <c r="D1402" s="7"/>
    </row>
    <row r="1403" customFormat="false" ht="15" hidden="false" customHeight="false" outlineLevel="0" collapsed="false">
      <c r="A1403" s="6" t="str">
        <f aca="false">IF('DATA UNIT'!$B72="","",'DATA UNIT'!$B72)</f>
        <v>KT 8622 YY</v>
      </c>
      <c r="B1403" s="6" t="str">
        <f aca="false">IF($A1403="","",INDEX(PlanningItemsList,2))</f>
        <v>Service A</v>
      </c>
      <c r="C1403" s="7"/>
      <c r="D1403" s="7"/>
    </row>
    <row r="1404" customFormat="false" ht="15" hidden="false" customHeight="false" outlineLevel="0" collapsed="false">
      <c r="A1404" s="6" t="str">
        <f aca="false">IF('DATA UNIT'!$B72="","",'DATA UNIT'!$B72)</f>
        <v>KT 8622 YY</v>
      </c>
      <c r="B1404" s="6" t="str">
        <f aca="false">IF($A1404="","",INDEX(PlanningItemsList,3))</f>
        <v>Service B</v>
      </c>
      <c r="C1404" s="7"/>
      <c r="D1404" s="7"/>
    </row>
    <row r="1405" customFormat="false" ht="15" hidden="false" customHeight="false" outlineLevel="0" collapsed="false">
      <c r="A1405" s="6" t="str">
        <f aca="false">IF('DATA UNIT'!$B72="","",'DATA UNIT'!$B72)</f>
        <v>KT 8622 YY</v>
      </c>
      <c r="B1405" s="6" t="str">
        <f aca="false">IF($A1405="","",INDEX(PlanningItemsList,4))</f>
        <v>Brake Pad</v>
      </c>
      <c r="C1405" s="7"/>
      <c r="D1405" s="7"/>
    </row>
    <row r="1406" customFormat="false" ht="15" hidden="false" customHeight="false" outlineLevel="0" collapsed="false">
      <c r="A1406" s="6" t="str">
        <f aca="false">IF('DATA UNIT'!$B72="","",'DATA UNIT'!$B72)</f>
        <v>KT 8622 YY</v>
      </c>
      <c r="B1406" s="6" t="str">
        <f aca="false">IF($A1406="","",INDEX(PlanningItemsList,5))</f>
        <v>Brake Shoe</v>
      </c>
      <c r="C1406" s="7"/>
      <c r="D1406" s="7"/>
    </row>
    <row r="1407" customFormat="false" ht="15" hidden="false" customHeight="false" outlineLevel="0" collapsed="false">
      <c r="A1407" s="6" t="str">
        <f aca="false">IF('DATA UNIT'!$B72="","",'DATA UNIT'!$B72)</f>
        <v>KT 8622 YY</v>
      </c>
      <c r="B1407" s="6" t="str">
        <f aca="false">IF($A1407="","",INDEX(PlanningItemsList,6))</f>
        <v>Accu</v>
      </c>
      <c r="C1407" s="7"/>
      <c r="D1407" s="7"/>
    </row>
    <row r="1408" customFormat="false" ht="15" hidden="false" customHeight="false" outlineLevel="0" collapsed="false">
      <c r="A1408" s="6" t="str">
        <f aca="false">IF('DATA UNIT'!$B72="","",'DATA UNIT'!$B72)</f>
        <v>KT 8622 YY</v>
      </c>
      <c r="B1408" s="6" t="str">
        <f aca="false">IF($A1408="","",INDEX(PlanningItemsList,7))</f>
        <v>Kampas Kopling Set</v>
      </c>
      <c r="C1408" s="7"/>
      <c r="D1408" s="7"/>
    </row>
    <row r="1409" customFormat="false" ht="15" hidden="false" customHeight="false" outlineLevel="0" collapsed="false">
      <c r="A1409" s="6" t="str">
        <f aca="false">IF('DATA UNIT'!$B72="","",'DATA UNIT'!$B72)</f>
        <v>KT 8622 YY</v>
      </c>
      <c r="B1409" s="6" t="str">
        <f aca="false">IF($A1409="","",INDEX(PlanningItemsList,8))</f>
        <v>Wiper Blade</v>
      </c>
      <c r="C1409" s="7"/>
      <c r="D1409" s="7"/>
    </row>
    <row r="1410" customFormat="false" ht="15" hidden="false" customHeight="false" outlineLevel="0" collapsed="false">
      <c r="A1410" s="6" t="str">
        <f aca="false">IF('DATA UNIT'!$B72="","",'DATA UNIT'!$B72)</f>
        <v>KT 8622 YY</v>
      </c>
      <c r="B1410" s="6" t="str">
        <f aca="false">IF($A1410="","",INDEX(PlanningItemsList,9))</f>
        <v>Ban Depan</v>
      </c>
      <c r="C1410" s="7"/>
      <c r="D1410" s="7"/>
    </row>
    <row r="1411" customFormat="false" ht="15" hidden="false" customHeight="false" outlineLevel="0" collapsed="false">
      <c r="A1411" s="6" t="str">
        <f aca="false">IF('DATA UNIT'!$B72="","",'DATA UNIT'!$B72)</f>
        <v>KT 8622 YY</v>
      </c>
      <c r="B1411" s="6" t="str">
        <f aca="false">IF($A1411="","",INDEX(PlanningItemsList,10))</f>
        <v>Ban Belakang</v>
      </c>
      <c r="C1411" s="7"/>
      <c r="D1411" s="7"/>
    </row>
    <row r="1412" customFormat="false" ht="15" hidden="false" customHeight="false" outlineLevel="0" collapsed="false">
      <c r="A1412" s="6" t="str">
        <f aca="false">IF('DATA UNIT'!$B72="","",'DATA UNIT'!$B72)</f>
        <v>KT 8622 YY</v>
      </c>
      <c r="B1412" s="6" t="str">
        <f aca="false">IF($A1412="","",INDEX(PlanningItemsList,11))</f>
        <v>Ban Serep</v>
      </c>
      <c r="C1412" s="7"/>
      <c r="D1412" s="7"/>
    </row>
    <row r="1413" customFormat="false" ht="15" hidden="false" customHeight="false" outlineLevel="0" collapsed="false">
      <c r="A1413" s="6" t="str">
        <f aca="false">IF('DATA UNIT'!$B72="","",'DATA UNIT'!$B72)</f>
        <v>KT 8622 YY</v>
      </c>
      <c r="B1413" s="6" t="str">
        <f aca="false">IF($A1413="","",INDEX(PlanningItemsList,12))</f>
        <v>Greasing</v>
      </c>
      <c r="C1413" s="7"/>
      <c r="D1413" s="7"/>
    </row>
    <row r="1414" customFormat="false" ht="15" hidden="false" customHeight="false" outlineLevel="0" collapsed="false">
      <c r="A1414" s="6" t="str">
        <f aca="false">IF('DATA UNIT'!$B72="","",'DATA UNIT'!$B72)</f>
        <v>KT 8622 YY</v>
      </c>
      <c r="B1414" s="6" t="str">
        <f aca="false">IF($A1414="","",INDEX(PlanningItemsList,13))</f>
        <v>V-Belt</v>
      </c>
      <c r="C1414" s="7"/>
      <c r="D1414" s="7"/>
    </row>
    <row r="1415" customFormat="false" ht="15" hidden="false" customHeight="false" outlineLevel="0" collapsed="false">
      <c r="A1415" s="6" t="str">
        <f aca="false">IF('DATA UNIT'!$B72="","",'DATA UNIT'!$B72)</f>
        <v>KT 8622 YY</v>
      </c>
      <c r="B1415" s="6" t="str">
        <f aca="false">IF($A1415="","",INDEX(PlanningItemsList,14))</f>
        <v>Sarung Jok</v>
      </c>
      <c r="C1415" s="7"/>
      <c r="D1415" s="7"/>
    </row>
    <row r="1416" customFormat="false" ht="15" hidden="false" customHeight="false" outlineLevel="0" collapsed="false">
      <c r="A1416" s="6" t="str">
        <f aca="false">IF('DATA UNIT'!$B72="","",'DATA UNIT'!$B72)</f>
        <v>KT 8622 YY</v>
      </c>
      <c r="B1416" s="6" t="str">
        <f aca="false">IF($A1416="","",INDEX(PlanningItemsList,15))</f>
        <v>Karpet Karet</v>
      </c>
      <c r="C1416" s="7"/>
      <c r="D1416" s="7"/>
    </row>
    <row r="1417" customFormat="false" ht="15" hidden="false" customHeight="false" outlineLevel="0" collapsed="false">
      <c r="A1417" s="6" t="str">
        <f aca="false">IF('DATA UNIT'!$B72="","",'DATA UNIT'!$B72)</f>
        <v>KT 8622 YY</v>
      </c>
      <c r="B1417" s="6" t="str">
        <f aca="false">IF($A1417="","",INDEX(PlanningItemsList,16))</f>
        <v>Karpet Dasar</v>
      </c>
      <c r="C1417" s="7"/>
      <c r="D1417" s="7"/>
    </row>
    <row r="1418" customFormat="false" ht="15" hidden="false" customHeight="false" outlineLevel="0" collapsed="false">
      <c r="A1418" s="6" t="str">
        <f aca="false">IF('DATA UNIT'!$B72="","",'DATA UNIT'!$B72)</f>
        <v>KT 8622 YY</v>
      </c>
      <c r="B1418" s="6" t="str">
        <f aca="false">IF($A1418="","",INDEX(PlanningItemsList,17))</f>
        <v>Flushing Radiator</v>
      </c>
      <c r="C1418" s="7"/>
      <c r="D1418" s="7"/>
    </row>
    <row r="1419" customFormat="false" ht="15" hidden="false" customHeight="false" outlineLevel="0" collapsed="false">
      <c r="A1419" s="6" t="str">
        <f aca="false">IF('DATA UNIT'!$B72="","",'DATA UNIT'!$B72)</f>
        <v>KT 8622 YY</v>
      </c>
      <c r="B1419" s="6" t="str">
        <f aca="false">IF($A1419="","",INDEX(PlanningItemsList,18))</f>
        <v>Flushing Steering</v>
      </c>
      <c r="C1419" s="7"/>
      <c r="D1419" s="7"/>
    </row>
    <row r="1420" customFormat="false" ht="15" hidden="false" customHeight="false" outlineLevel="0" collapsed="false">
      <c r="A1420" s="6" t="str">
        <f aca="false">IF('DATA UNIT'!$B72="","",'DATA UNIT'!$B72)</f>
        <v>KT 8622 YY</v>
      </c>
      <c r="B1420" s="6" t="str">
        <f aca="false">IF($A1420="","",INDEX(PlanningItemsList,19))</f>
        <v>Flushing Injector</v>
      </c>
      <c r="C1420" s="7"/>
      <c r="D1420" s="7"/>
    </row>
    <row r="1421" customFormat="false" ht="15" hidden="false" customHeight="false" outlineLevel="0" collapsed="false">
      <c r="A1421" s="6" t="str">
        <f aca="false">IF('DATA UNIT'!$B72="","",'DATA UNIT'!$B72)</f>
        <v>KT 8622 YY</v>
      </c>
      <c r="B1421" s="6" t="str">
        <f aca="false">IF($A1421="","",INDEX(PlanningItemsList,20))</f>
        <v>Flushing Rem</v>
      </c>
      <c r="C1421" s="7"/>
      <c r="D1421" s="7"/>
    </row>
    <row r="1422" customFormat="false" ht="15" hidden="false" customHeight="false" outlineLevel="0" collapsed="false">
      <c r="A1422" s="6" t="str">
        <f aca="false">IF('DATA UNIT'!$B73="","",'DATA UNIT'!$B73)</f>
        <v>KT 8701 YY</v>
      </c>
      <c r="B1422" s="6" t="str">
        <f aca="false">IF($A1422="","",INDEX(PlanningItemsList,1))</f>
        <v>PM Check / Reguler Services</v>
      </c>
      <c r="C1422" s="7"/>
      <c r="D1422" s="7"/>
    </row>
    <row r="1423" customFormat="false" ht="15" hidden="false" customHeight="false" outlineLevel="0" collapsed="false">
      <c r="A1423" s="6" t="str">
        <f aca="false">IF('DATA UNIT'!$B73="","",'DATA UNIT'!$B73)</f>
        <v>KT 8701 YY</v>
      </c>
      <c r="B1423" s="6" t="str">
        <f aca="false">IF($A1423="","",INDEX(PlanningItemsList,2))</f>
        <v>Service A</v>
      </c>
      <c r="C1423" s="7"/>
      <c r="D1423" s="7"/>
    </row>
    <row r="1424" customFormat="false" ht="15" hidden="false" customHeight="false" outlineLevel="0" collapsed="false">
      <c r="A1424" s="6" t="str">
        <f aca="false">IF('DATA UNIT'!$B73="","",'DATA UNIT'!$B73)</f>
        <v>KT 8701 YY</v>
      </c>
      <c r="B1424" s="6" t="str">
        <f aca="false">IF($A1424="","",INDEX(PlanningItemsList,3))</f>
        <v>Service B</v>
      </c>
      <c r="C1424" s="7"/>
      <c r="D1424" s="7"/>
    </row>
    <row r="1425" customFormat="false" ht="15" hidden="false" customHeight="false" outlineLevel="0" collapsed="false">
      <c r="A1425" s="6" t="str">
        <f aca="false">IF('DATA UNIT'!$B73="","",'DATA UNIT'!$B73)</f>
        <v>KT 8701 YY</v>
      </c>
      <c r="B1425" s="6" t="str">
        <f aca="false">IF($A1425="","",INDEX(PlanningItemsList,4))</f>
        <v>Brake Pad</v>
      </c>
      <c r="C1425" s="7"/>
      <c r="D1425" s="7"/>
    </row>
    <row r="1426" customFormat="false" ht="15" hidden="false" customHeight="false" outlineLevel="0" collapsed="false">
      <c r="A1426" s="6" t="str">
        <f aca="false">IF('DATA UNIT'!$B73="","",'DATA UNIT'!$B73)</f>
        <v>KT 8701 YY</v>
      </c>
      <c r="B1426" s="6" t="str">
        <f aca="false">IF($A1426="","",INDEX(PlanningItemsList,5))</f>
        <v>Brake Shoe</v>
      </c>
      <c r="C1426" s="7"/>
      <c r="D1426" s="7"/>
    </row>
    <row r="1427" customFormat="false" ht="15" hidden="false" customHeight="false" outlineLevel="0" collapsed="false">
      <c r="A1427" s="6" t="str">
        <f aca="false">IF('DATA UNIT'!$B73="","",'DATA UNIT'!$B73)</f>
        <v>KT 8701 YY</v>
      </c>
      <c r="B1427" s="6" t="str">
        <f aca="false">IF($A1427="","",INDEX(PlanningItemsList,6))</f>
        <v>Accu</v>
      </c>
      <c r="C1427" s="7"/>
      <c r="D1427" s="7"/>
    </row>
    <row r="1428" customFormat="false" ht="15" hidden="false" customHeight="false" outlineLevel="0" collapsed="false">
      <c r="A1428" s="6" t="str">
        <f aca="false">IF('DATA UNIT'!$B73="","",'DATA UNIT'!$B73)</f>
        <v>KT 8701 YY</v>
      </c>
      <c r="B1428" s="6" t="str">
        <f aca="false">IF($A1428="","",INDEX(PlanningItemsList,7))</f>
        <v>Kampas Kopling Set</v>
      </c>
      <c r="C1428" s="7"/>
      <c r="D1428" s="7"/>
    </row>
    <row r="1429" customFormat="false" ht="15" hidden="false" customHeight="false" outlineLevel="0" collapsed="false">
      <c r="A1429" s="6" t="str">
        <f aca="false">IF('DATA UNIT'!$B73="","",'DATA UNIT'!$B73)</f>
        <v>KT 8701 YY</v>
      </c>
      <c r="B1429" s="6" t="str">
        <f aca="false">IF($A1429="","",INDEX(PlanningItemsList,8))</f>
        <v>Wiper Blade</v>
      </c>
      <c r="C1429" s="7"/>
      <c r="D1429" s="7"/>
    </row>
    <row r="1430" customFormat="false" ht="15" hidden="false" customHeight="false" outlineLevel="0" collapsed="false">
      <c r="A1430" s="6" t="str">
        <f aca="false">IF('DATA UNIT'!$B73="","",'DATA UNIT'!$B73)</f>
        <v>KT 8701 YY</v>
      </c>
      <c r="B1430" s="6" t="str">
        <f aca="false">IF($A1430="","",INDEX(PlanningItemsList,9))</f>
        <v>Ban Depan</v>
      </c>
      <c r="C1430" s="7"/>
      <c r="D1430" s="7"/>
    </row>
    <row r="1431" customFormat="false" ht="15" hidden="false" customHeight="false" outlineLevel="0" collapsed="false">
      <c r="A1431" s="6" t="str">
        <f aca="false">IF('DATA UNIT'!$B73="","",'DATA UNIT'!$B73)</f>
        <v>KT 8701 YY</v>
      </c>
      <c r="B1431" s="6" t="str">
        <f aca="false">IF($A1431="","",INDEX(PlanningItemsList,10))</f>
        <v>Ban Belakang</v>
      </c>
      <c r="C1431" s="7"/>
      <c r="D1431" s="7"/>
    </row>
    <row r="1432" customFormat="false" ht="15" hidden="false" customHeight="false" outlineLevel="0" collapsed="false">
      <c r="A1432" s="6" t="str">
        <f aca="false">IF('DATA UNIT'!$B73="","",'DATA UNIT'!$B73)</f>
        <v>KT 8701 YY</v>
      </c>
      <c r="B1432" s="6" t="str">
        <f aca="false">IF($A1432="","",INDEX(PlanningItemsList,11))</f>
        <v>Ban Serep</v>
      </c>
      <c r="C1432" s="7"/>
      <c r="D1432" s="7"/>
    </row>
    <row r="1433" customFormat="false" ht="15" hidden="false" customHeight="false" outlineLevel="0" collapsed="false">
      <c r="A1433" s="6" t="str">
        <f aca="false">IF('DATA UNIT'!$B73="","",'DATA UNIT'!$B73)</f>
        <v>KT 8701 YY</v>
      </c>
      <c r="B1433" s="6" t="str">
        <f aca="false">IF($A1433="","",INDEX(PlanningItemsList,12))</f>
        <v>Greasing</v>
      </c>
      <c r="C1433" s="7"/>
      <c r="D1433" s="7"/>
    </row>
    <row r="1434" customFormat="false" ht="15" hidden="false" customHeight="false" outlineLevel="0" collapsed="false">
      <c r="A1434" s="6" t="str">
        <f aca="false">IF('DATA UNIT'!$B73="","",'DATA UNIT'!$B73)</f>
        <v>KT 8701 YY</v>
      </c>
      <c r="B1434" s="6" t="str">
        <f aca="false">IF($A1434="","",INDEX(PlanningItemsList,13))</f>
        <v>V-Belt</v>
      </c>
      <c r="C1434" s="7"/>
      <c r="D1434" s="7"/>
    </row>
    <row r="1435" customFormat="false" ht="15" hidden="false" customHeight="false" outlineLevel="0" collapsed="false">
      <c r="A1435" s="6" t="str">
        <f aca="false">IF('DATA UNIT'!$B73="","",'DATA UNIT'!$B73)</f>
        <v>KT 8701 YY</v>
      </c>
      <c r="B1435" s="6" t="str">
        <f aca="false">IF($A1435="","",INDEX(PlanningItemsList,14))</f>
        <v>Sarung Jok</v>
      </c>
      <c r="C1435" s="7"/>
      <c r="D1435" s="7"/>
    </row>
    <row r="1436" customFormat="false" ht="15" hidden="false" customHeight="false" outlineLevel="0" collapsed="false">
      <c r="A1436" s="6" t="str">
        <f aca="false">IF('DATA UNIT'!$B73="","",'DATA UNIT'!$B73)</f>
        <v>KT 8701 YY</v>
      </c>
      <c r="B1436" s="6" t="str">
        <f aca="false">IF($A1436="","",INDEX(PlanningItemsList,15))</f>
        <v>Karpet Karet</v>
      </c>
      <c r="C1436" s="7"/>
      <c r="D1436" s="7"/>
    </row>
    <row r="1437" customFormat="false" ht="15" hidden="false" customHeight="false" outlineLevel="0" collapsed="false">
      <c r="A1437" s="6" t="str">
        <f aca="false">IF('DATA UNIT'!$B73="","",'DATA UNIT'!$B73)</f>
        <v>KT 8701 YY</v>
      </c>
      <c r="B1437" s="6" t="str">
        <f aca="false">IF($A1437="","",INDEX(PlanningItemsList,16))</f>
        <v>Karpet Dasar</v>
      </c>
      <c r="C1437" s="7"/>
      <c r="D1437" s="7"/>
    </row>
    <row r="1438" customFormat="false" ht="15" hidden="false" customHeight="false" outlineLevel="0" collapsed="false">
      <c r="A1438" s="6" t="str">
        <f aca="false">IF('DATA UNIT'!$B73="","",'DATA UNIT'!$B73)</f>
        <v>KT 8701 YY</v>
      </c>
      <c r="B1438" s="6" t="str">
        <f aca="false">IF($A1438="","",INDEX(PlanningItemsList,17))</f>
        <v>Flushing Radiator</v>
      </c>
      <c r="C1438" s="7"/>
      <c r="D1438" s="7"/>
    </row>
    <row r="1439" customFormat="false" ht="15" hidden="false" customHeight="false" outlineLevel="0" collapsed="false">
      <c r="A1439" s="6" t="str">
        <f aca="false">IF('DATA UNIT'!$B73="","",'DATA UNIT'!$B73)</f>
        <v>KT 8701 YY</v>
      </c>
      <c r="B1439" s="6" t="str">
        <f aca="false">IF($A1439="","",INDEX(PlanningItemsList,18))</f>
        <v>Flushing Steering</v>
      </c>
      <c r="C1439" s="7"/>
      <c r="D1439" s="7"/>
    </row>
    <row r="1440" customFormat="false" ht="15" hidden="false" customHeight="false" outlineLevel="0" collapsed="false">
      <c r="A1440" s="6" t="str">
        <f aca="false">IF('DATA UNIT'!$B73="","",'DATA UNIT'!$B73)</f>
        <v>KT 8701 YY</v>
      </c>
      <c r="B1440" s="6" t="str">
        <f aca="false">IF($A1440="","",INDEX(PlanningItemsList,19))</f>
        <v>Flushing Injector</v>
      </c>
      <c r="C1440" s="7"/>
      <c r="D1440" s="7"/>
    </row>
    <row r="1441" customFormat="false" ht="15" hidden="false" customHeight="false" outlineLevel="0" collapsed="false">
      <c r="A1441" s="6" t="str">
        <f aca="false">IF('DATA UNIT'!$B73="","",'DATA UNIT'!$B73)</f>
        <v>KT 8701 YY</v>
      </c>
      <c r="B1441" s="6" t="str">
        <f aca="false">IF($A1441="","",INDEX(PlanningItemsList,20))</f>
        <v>Flushing Rem</v>
      </c>
      <c r="C1441" s="7"/>
      <c r="D1441" s="7"/>
    </row>
    <row r="1442" customFormat="false" ht="15" hidden="false" customHeight="false" outlineLevel="0" collapsed="false">
      <c r="A1442" s="6" t="str">
        <f aca="false">IF('DATA UNIT'!$B74="","",'DATA UNIT'!$B74)</f>
        <v>KT 8697 YY</v>
      </c>
      <c r="B1442" s="6" t="str">
        <f aca="false">IF($A1442="","",INDEX(PlanningItemsList,1))</f>
        <v>PM Check / Reguler Services</v>
      </c>
      <c r="C1442" s="7"/>
      <c r="D1442" s="7"/>
    </row>
    <row r="1443" customFormat="false" ht="15" hidden="false" customHeight="false" outlineLevel="0" collapsed="false">
      <c r="A1443" s="6" t="str">
        <f aca="false">IF('DATA UNIT'!$B74="","",'DATA UNIT'!$B74)</f>
        <v>KT 8697 YY</v>
      </c>
      <c r="B1443" s="6" t="str">
        <f aca="false">IF($A1443="","",INDEX(PlanningItemsList,2))</f>
        <v>Service A</v>
      </c>
      <c r="C1443" s="7"/>
      <c r="D1443" s="7"/>
    </row>
    <row r="1444" customFormat="false" ht="15" hidden="false" customHeight="false" outlineLevel="0" collapsed="false">
      <c r="A1444" s="6" t="str">
        <f aca="false">IF('DATA UNIT'!$B74="","",'DATA UNIT'!$B74)</f>
        <v>KT 8697 YY</v>
      </c>
      <c r="B1444" s="6" t="str">
        <f aca="false">IF($A1444="","",INDEX(PlanningItemsList,3))</f>
        <v>Service B</v>
      </c>
      <c r="C1444" s="7"/>
      <c r="D1444" s="7"/>
    </row>
    <row r="1445" customFormat="false" ht="15" hidden="false" customHeight="false" outlineLevel="0" collapsed="false">
      <c r="A1445" s="6" t="str">
        <f aca="false">IF('DATA UNIT'!$B74="","",'DATA UNIT'!$B74)</f>
        <v>KT 8697 YY</v>
      </c>
      <c r="B1445" s="6" t="str">
        <f aca="false">IF($A1445="","",INDEX(PlanningItemsList,4))</f>
        <v>Brake Pad</v>
      </c>
      <c r="C1445" s="7"/>
      <c r="D1445" s="7"/>
    </row>
    <row r="1446" customFormat="false" ht="15" hidden="false" customHeight="false" outlineLevel="0" collapsed="false">
      <c r="A1446" s="6" t="str">
        <f aca="false">IF('DATA UNIT'!$B74="","",'DATA UNIT'!$B74)</f>
        <v>KT 8697 YY</v>
      </c>
      <c r="B1446" s="6" t="str">
        <f aca="false">IF($A1446="","",INDEX(PlanningItemsList,5))</f>
        <v>Brake Shoe</v>
      </c>
      <c r="C1446" s="7"/>
      <c r="D1446" s="7"/>
    </row>
    <row r="1447" customFormat="false" ht="15" hidden="false" customHeight="false" outlineLevel="0" collapsed="false">
      <c r="A1447" s="6" t="str">
        <f aca="false">IF('DATA UNIT'!$B74="","",'DATA UNIT'!$B74)</f>
        <v>KT 8697 YY</v>
      </c>
      <c r="B1447" s="6" t="str">
        <f aca="false">IF($A1447="","",INDEX(PlanningItemsList,6))</f>
        <v>Accu</v>
      </c>
      <c r="C1447" s="7"/>
      <c r="D1447" s="7"/>
    </row>
    <row r="1448" customFormat="false" ht="15" hidden="false" customHeight="false" outlineLevel="0" collapsed="false">
      <c r="A1448" s="6" t="str">
        <f aca="false">IF('DATA UNIT'!$B74="","",'DATA UNIT'!$B74)</f>
        <v>KT 8697 YY</v>
      </c>
      <c r="B1448" s="6" t="str">
        <f aca="false">IF($A1448="","",INDEX(PlanningItemsList,7))</f>
        <v>Kampas Kopling Set</v>
      </c>
      <c r="C1448" s="7"/>
      <c r="D1448" s="7"/>
    </row>
    <row r="1449" customFormat="false" ht="15" hidden="false" customHeight="false" outlineLevel="0" collapsed="false">
      <c r="A1449" s="6" t="str">
        <f aca="false">IF('DATA UNIT'!$B74="","",'DATA UNIT'!$B74)</f>
        <v>KT 8697 YY</v>
      </c>
      <c r="B1449" s="6" t="str">
        <f aca="false">IF($A1449="","",INDEX(PlanningItemsList,8))</f>
        <v>Wiper Blade</v>
      </c>
      <c r="C1449" s="7"/>
      <c r="D1449" s="7"/>
    </row>
    <row r="1450" customFormat="false" ht="15" hidden="false" customHeight="false" outlineLevel="0" collapsed="false">
      <c r="A1450" s="6" t="str">
        <f aca="false">IF('DATA UNIT'!$B74="","",'DATA UNIT'!$B74)</f>
        <v>KT 8697 YY</v>
      </c>
      <c r="B1450" s="6" t="str">
        <f aca="false">IF($A1450="","",INDEX(PlanningItemsList,9))</f>
        <v>Ban Depan</v>
      </c>
      <c r="C1450" s="7"/>
      <c r="D1450" s="7"/>
    </row>
    <row r="1451" customFormat="false" ht="15" hidden="false" customHeight="false" outlineLevel="0" collapsed="false">
      <c r="A1451" s="6" t="str">
        <f aca="false">IF('DATA UNIT'!$B74="","",'DATA UNIT'!$B74)</f>
        <v>KT 8697 YY</v>
      </c>
      <c r="B1451" s="6" t="str">
        <f aca="false">IF($A1451="","",INDEX(PlanningItemsList,10))</f>
        <v>Ban Belakang</v>
      </c>
      <c r="C1451" s="7"/>
      <c r="D1451" s="7"/>
    </row>
    <row r="1452" customFormat="false" ht="15" hidden="false" customHeight="false" outlineLevel="0" collapsed="false">
      <c r="A1452" s="6" t="str">
        <f aca="false">IF('DATA UNIT'!$B74="","",'DATA UNIT'!$B74)</f>
        <v>KT 8697 YY</v>
      </c>
      <c r="B1452" s="6" t="str">
        <f aca="false">IF($A1452="","",INDEX(PlanningItemsList,11))</f>
        <v>Ban Serep</v>
      </c>
      <c r="C1452" s="7"/>
      <c r="D1452" s="7"/>
    </row>
    <row r="1453" customFormat="false" ht="15" hidden="false" customHeight="false" outlineLevel="0" collapsed="false">
      <c r="A1453" s="6" t="str">
        <f aca="false">IF('DATA UNIT'!$B74="","",'DATA UNIT'!$B74)</f>
        <v>KT 8697 YY</v>
      </c>
      <c r="B1453" s="6" t="str">
        <f aca="false">IF($A1453="","",INDEX(PlanningItemsList,12))</f>
        <v>Greasing</v>
      </c>
      <c r="C1453" s="7"/>
      <c r="D1453" s="7"/>
    </row>
    <row r="1454" customFormat="false" ht="15" hidden="false" customHeight="false" outlineLevel="0" collapsed="false">
      <c r="A1454" s="6" t="str">
        <f aca="false">IF('DATA UNIT'!$B74="","",'DATA UNIT'!$B74)</f>
        <v>KT 8697 YY</v>
      </c>
      <c r="B1454" s="6" t="str">
        <f aca="false">IF($A1454="","",INDEX(PlanningItemsList,13))</f>
        <v>V-Belt</v>
      </c>
      <c r="C1454" s="7"/>
      <c r="D1454" s="7"/>
    </row>
    <row r="1455" customFormat="false" ht="15" hidden="false" customHeight="false" outlineLevel="0" collapsed="false">
      <c r="A1455" s="6" t="str">
        <f aca="false">IF('DATA UNIT'!$B74="","",'DATA UNIT'!$B74)</f>
        <v>KT 8697 YY</v>
      </c>
      <c r="B1455" s="6" t="str">
        <f aca="false">IF($A1455="","",INDEX(PlanningItemsList,14))</f>
        <v>Sarung Jok</v>
      </c>
      <c r="C1455" s="7"/>
      <c r="D1455" s="7"/>
    </row>
    <row r="1456" customFormat="false" ht="15" hidden="false" customHeight="false" outlineLevel="0" collapsed="false">
      <c r="A1456" s="6" t="str">
        <f aca="false">IF('DATA UNIT'!$B74="","",'DATA UNIT'!$B74)</f>
        <v>KT 8697 YY</v>
      </c>
      <c r="B1456" s="6" t="str">
        <f aca="false">IF($A1456="","",INDEX(PlanningItemsList,15))</f>
        <v>Karpet Karet</v>
      </c>
      <c r="C1456" s="7"/>
      <c r="D1456" s="7"/>
    </row>
    <row r="1457" customFormat="false" ht="15" hidden="false" customHeight="false" outlineLevel="0" collapsed="false">
      <c r="A1457" s="6" t="str">
        <f aca="false">IF('DATA UNIT'!$B74="","",'DATA UNIT'!$B74)</f>
        <v>KT 8697 YY</v>
      </c>
      <c r="B1457" s="6" t="str">
        <f aca="false">IF($A1457="","",INDEX(PlanningItemsList,16))</f>
        <v>Karpet Dasar</v>
      </c>
      <c r="C1457" s="7"/>
      <c r="D1457" s="7"/>
    </row>
    <row r="1458" customFormat="false" ht="15" hidden="false" customHeight="false" outlineLevel="0" collapsed="false">
      <c r="A1458" s="6" t="str">
        <f aca="false">IF('DATA UNIT'!$B74="","",'DATA UNIT'!$B74)</f>
        <v>KT 8697 YY</v>
      </c>
      <c r="B1458" s="6" t="str">
        <f aca="false">IF($A1458="","",INDEX(PlanningItemsList,17))</f>
        <v>Flushing Radiator</v>
      </c>
      <c r="C1458" s="7"/>
      <c r="D1458" s="7"/>
    </row>
    <row r="1459" customFormat="false" ht="15" hidden="false" customHeight="false" outlineLevel="0" collapsed="false">
      <c r="A1459" s="6" t="str">
        <f aca="false">IF('DATA UNIT'!$B74="","",'DATA UNIT'!$B74)</f>
        <v>KT 8697 YY</v>
      </c>
      <c r="B1459" s="6" t="str">
        <f aca="false">IF($A1459="","",INDEX(PlanningItemsList,18))</f>
        <v>Flushing Steering</v>
      </c>
      <c r="C1459" s="7"/>
      <c r="D1459" s="7"/>
    </row>
    <row r="1460" customFormat="false" ht="15" hidden="false" customHeight="false" outlineLevel="0" collapsed="false">
      <c r="A1460" s="6" t="str">
        <f aca="false">IF('DATA UNIT'!$B74="","",'DATA UNIT'!$B74)</f>
        <v>KT 8697 YY</v>
      </c>
      <c r="B1460" s="6" t="str">
        <f aca="false">IF($A1460="","",INDEX(PlanningItemsList,19))</f>
        <v>Flushing Injector</v>
      </c>
      <c r="C1460" s="7"/>
      <c r="D1460" s="7"/>
    </row>
    <row r="1461" customFormat="false" ht="15" hidden="false" customHeight="false" outlineLevel="0" collapsed="false">
      <c r="A1461" s="6" t="str">
        <f aca="false">IF('DATA UNIT'!$B74="","",'DATA UNIT'!$B74)</f>
        <v>KT 8697 YY</v>
      </c>
      <c r="B1461" s="6" t="str">
        <f aca="false">IF($A1461="","",INDEX(PlanningItemsList,20))</f>
        <v>Flushing Rem</v>
      </c>
      <c r="C1461" s="7"/>
      <c r="D1461" s="7"/>
    </row>
    <row r="1462" customFormat="false" ht="15" hidden="false" customHeight="false" outlineLevel="0" collapsed="false">
      <c r="A1462" s="6" t="str">
        <f aca="false">IF('DATA UNIT'!$B75="","",'DATA UNIT'!$B75)</f>
        <v>KT 8696 YY</v>
      </c>
      <c r="B1462" s="6" t="str">
        <f aca="false">IF($A1462="","",INDEX(PlanningItemsList,1))</f>
        <v>PM Check / Reguler Services</v>
      </c>
      <c r="C1462" s="7"/>
      <c r="D1462" s="7"/>
    </row>
    <row r="1463" customFormat="false" ht="15" hidden="false" customHeight="false" outlineLevel="0" collapsed="false">
      <c r="A1463" s="6" t="str">
        <f aca="false">IF('DATA UNIT'!$B75="","",'DATA UNIT'!$B75)</f>
        <v>KT 8696 YY</v>
      </c>
      <c r="B1463" s="6" t="str">
        <f aca="false">IF($A1463="","",INDEX(PlanningItemsList,2))</f>
        <v>Service A</v>
      </c>
      <c r="C1463" s="7"/>
      <c r="D1463" s="7"/>
    </row>
    <row r="1464" customFormat="false" ht="15" hidden="false" customHeight="false" outlineLevel="0" collapsed="false">
      <c r="A1464" s="6" t="str">
        <f aca="false">IF('DATA UNIT'!$B75="","",'DATA UNIT'!$B75)</f>
        <v>KT 8696 YY</v>
      </c>
      <c r="B1464" s="6" t="str">
        <f aca="false">IF($A1464="","",INDEX(PlanningItemsList,3))</f>
        <v>Service B</v>
      </c>
      <c r="C1464" s="7"/>
      <c r="D1464" s="7"/>
    </row>
    <row r="1465" customFormat="false" ht="15" hidden="false" customHeight="false" outlineLevel="0" collapsed="false">
      <c r="A1465" s="6" t="str">
        <f aca="false">IF('DATA UNIT'!$B75="","",'DATA UNIT'!$B75)</f>
        <v>KT 8696 YY</v>
      </c>
      <c r="B1465" s="6" t="str">
        <f aca="false">IF($A1465="","",INDEX(PlanningItemsList,4))</f>
        <v>Brake Pad</v>
      </c>
      <c r="C1465" s="7"/>
      <c r="D1465" s="7"/>
    </row>
    <row r="1466" customFormat="false" ht="15" hidden="false" customHeight="false" outlineLevel="0" collapsed="false">
      <c r="A1466" s="6" t="str">
        <f aca="false">IF('DATA UNIT'!$B75="","",'DATA UNIT'!$B75)</f>
        <v>KT 8696 YY</v>
      </c>
      <c r="B1466" s="6" t="str">
        <f aca="false">IF($A1466="","",INDEX(PlanningItemsList,5))</f>
        <v>Brake Shoe</v>
      </c>
      <c r="C1466" s="7"/>
      <c r="D1466" s="7"/>
    </row>
    <row r="1467" customFormat="false" ht="15" hidden="false" customHeight="false" outlineLevel="0" collapsed="false">
      <c r="A1467" s="6" t="str">
        <f aca="false">IF('DATA UNIT'!$B75="","",'DATA UNIT'!$B75)</f>
        <v>KT 8696 YY</v>
      </c>
      <c r="B1467" s="6" t="str">
        <f aca="false">IF($A1467="","",INDEX(PlanningItemsList,6))</f>
        <v>Accu</v>
      </c>
      <c r="C1467" s="7"/>
      <c r="D1467" s="7"/>
    </row>
    <row r="1468" customFormat="false" ht="15" hidden="false" customHeight="false" outlineLevel="0" collapsed="false">
      <c r="A1468" s="6" t="str">
        <f aca="false">IF('DATA UNIT'!$B75="","",'DATA UNIT'!$B75)</f>
        <v>KT 8696 YY</v>
      </c>
      <c r="B1468" s="6" t="str">
        <f aca="false">IF($A1468="","",INDEX(PlanningItemsList,7))</f>
        <v>Kampas Kopling Set</v>
      </c>
      <c r="C1468" s="7"/>
      <c r="D1468" s="7"/>
    </row>
    <row r="1469" customFormat="false" ht="15" hidden="false" customHeight="false" outlineLevel="0" collapsed="false">
      <c r="A1469" s="6" t="str">
        <f aca="false">IF('DATA UNIT'!$B75="","",'DATA UNIT'!$B75)</f>
        <v>KT 8696 YY</v>
      </c>
      <c r="B1469" s="6" t="str">
        <f aca="false">IF($A1469="","",INDEX(PlanningItemsList,8))</f>
        <v>Wiper Blade</v>
      </c>
      <c r="C1469" s="7"/>
      <c r="D1469" s="7"/>
    </row>
    <row r="1470" customFormat="false" ht="15" hidden="false" customHeight="false" outlineLevel="0" collapsed="false">
      <c r="A1470" s="6" t="str">
        <f aca="false">IF('DATA UNIT'!$B75="","",'DATA UNIT'!$B75)</f>
        <v>KT 8696 YY</v>
      </c>
      <c r="B1470" s="6" t="str">
        <f aca="false">IF($A1470="","",INDEX(PlanningItemsList,9))</f>
        <v>Ban Depan</v>
      </c>
      <c r="C1470" s="7"/>
      <c r="D1470" s="7"/>
    </row>
    <row r="1471" customFormat="false" ht="15" hidden="false" customHeight="false" outlineLevel="0" collapsed="false">
      <c r="A1471" s="6" t="str">
        <f aca="false">IF('DATA UNIT'!$B75="","",'DATA UNIT'!$B75)</f>
        <v>KT 8696 YY</v>
      </c>
      <c r="B1471" s="6" t="str">
        <f aca="false">IF($A1471="","",INDEX(PlanningItemsList,10))</f>
        <v>Ban Belakang</v>
      </c>
      <c r="C1471" s="7"/>
      <c r="D1471" s="7"/>
    </row>
    <row r="1472" customFormat="false" ht="15" hidden="false" customHeight="false" outlineLevel="0" collapsed="false">
      <c r="A1472" s="6" t="str">
        <f aca="false">IF('DATA UNIT'!$B75="","",'DATA UNIT'!$B75)</f>
        <v>KT 8696 YY</v>
      </c>
      <c r="B1472" s="6" t="str">
        <f aca="false">IF($A1472="","",INDEX(PlanningItemsList,11))</f>
        <v>Ban Serep</v>
      </c>
      <c r="C1472" s="7"/>
      <c r="D1472" s="7"/>
    </row>
    <row r="1473" customFormat="false" ht="15" hidden="false" customHeight="false" outlineLevel="0" collapsed="false">
      <c r="A1473" s="6" t="str">
        <f aca="false">IF('DATA UNIT'!$B75="","",'DATA UNIT'!$B75)</f>
        <v>KT 8696 YY</v>
      </c>
      <c r="B1473" s="6" t="str">
        <f aca="false">IF($A1473="","",INDEX(PlanningItemsList,12))</f>
        <v>Greasing</v>
      </c>
      <c r="C1473" s="7"/>
      <c r="D1473" s="7"/>
    </row>
    <row r="1474" customFormat="false" ht="15" hidden="false" customHeight="false" outlineLevel="0" collapsed="false">
      <c r="A1474" s="6" t="str">
        <f aca="false">IF('DATA UNIT'!$B75="","",'DATA UNIT'!$B75)</f>
        <v>KT 8696 YY</v>
      </c>
      <c r="B1474" s="6" t="str">
        <f aca="false">IF($A1474="","",INDEX(PlanningItemsList,13))</f>
        <v>V-Belt</v>
      </c>
      <c r="C1474" s="7"/>
      <c r="D1474" s="7"/>
    </row>
    <row r="1475" customFormat="false" ht="15" hidden="false" customHeight="false" outlineLevel="0" collapsed="false">
      <c r="A1475" s="6" t="str">
        <f aca="false">IF('DATA UNIT'!$B75="","",'DATA UNIT'!$B75)</f>
        <v>KT 8696 YY</v>
      </c>
      <c r="B1475" s="6" t="str">
        <f aca="false">IF($A1475="","",INDEX(PlanningItemsList,14))</f>
        <v>Sarung Jok</v>
      </c>
      <c r="C1475" s="7"/>
      <c r="D1475" s="7"/>
    </row>
    <row r="1476" customFormat="false" ht="15" hidden="false" customHeight="false" outlineLevel="0" collapsed="false">
      <c r="A1476" s="6" t="str">
        <f aca="false">IF('DATA UNIT'!$B75="","",'DATA UNIT'!$B75)</f>
        <v>KT 8696 YY</v>
      </c>
      <c r="B1476" s="6" t="str">
        <f aca="false">IF($A1476="","",INDEX(PlanningItemsList,15))</f>
        <v>Karpet Karet</v>
      </c>
      <c r="C1476" s="7"/>
      <c r="D1476" s="7"/>
    </row>
    <row r="1477" customFormat="false" ht="15" hidden="false" customHeight="false" outlineLevel="0" collapsed="false">
      <c r="A1477" s="6" t="str">
        <f aca="false">IF('DATA UNIT'!$B75="","",'DATA UNIT'!$B75)</f>
        <v>KT 8696 YY</v>
      </c>
      <c r="B1477" s="6" t="str">
        <f aca="false">IF($A1477="","",INDEX(PlanningItemsList,16))</f>
        <v>Karpet Dasar</v>
      </c>
      <c r="C1477" s="7"/>
      <c r="D1477" s="7"/>
    </row>
    <row r="1478" customFormat="false" ht="15" hidden="false" customHeight="false" outlineLevel="0" collapsed="false">
      <c r="A1478" s="6" t="str">
        <f aca="false">IF('DATA UNIT'!$B75="","",'DATA UNIT'!$B75)</f>
        <v>KT 8696 YY</v>
      </c>
      <c r="B1478" s="6" t="str">
        <f aca="false">IF($A1478="","",INDEX(PlanningItemsList,17))</f>
        <v>Flushing Radiator</v>
      </c>
      <c r="C1478" s="7"/>
      <c r="D1478" s="7"/>
    </row>
    <row r="1479" customFormat="false" ht="15" hidden="false" customHeight="false" outlineLevel="0" collapsed="false">
      <c r="A1479" s="6" t="str">
        <f aca="false">IF('DATA UNIT'!$B75="","",'DATA UNIT'!$B75)</f>
        <v>KT 8696 YY</v>
      </c>
      <c r="B1479" s="6" t="str">
        <f aca="false">IF($A1479="","",INDEX(PlanningItemsList,18))</f>
        <v>Flushing Steering</v>
      </c>
      <c r="C1479" s="7"/>
      <c r="D1479" s="7"/>
    </row>
    <row r="1480" customFormat="false" ht="15" hidden="false" customHeight="false" outlineLevel="0" collapsed="false">
      <c r="A1480" s="6" t="str">
        <f aca="false">IF('DATA UNIT'!$B75="","",'DATA UNIT'!$B75)</f>
        <v>KT 8696 YY</v>
      </c>
      <c r="B1480" s="6" t="str">
        <f aca="false">IF($A1480="","",INDEX(PlanningItemsList,19))</f>
        <v>Flushing Injector</v>
      </c>
      <c r="C1480" s="7"/>
      <c r="D1480" s="7"/>
    </row>
    <row r="1481" customFormat="false" ht="15" hidden="false" customHeight="false" outlineLevel="0" collapsed="false">
      <c r="A1481" s="6" t="str">
        <f aca="false">IF('DATA UNIT'!$B75="","",'DATA UNIT'!$B75)</f>
        <v>KT 8696 YY</v>
      </c>
      <c r="B1481" s="6" t="str">
        <f aca="false">IF($A1481="","",INDEX(PlanningItemsList,20))</f>
        <v>Flushing Rem</v>
      </c>
      <c r="C1481" s="7"/>
      <c r="D1481" s="7"/>
    </row>
    <row r="1482" customFormat="false" ht="15" hidden="false" customHeight="false" outlineLevel="0" collapsed="false">
      <c r="A1482" s="6" t="str">
        <f aca="false">IF('DATA UNIT'!$B76="","",'DATA UNIT'!$B76)</f>
        <v>KT 8075 YZ</v>
      </c>
      <c r="B1482" s="6" t="str">
        <f aca="false">IF($A1482="","",INDEX(PlanningItemsList,1))</f>
        <v>PM Check / Reguler Services</v>
      </c>
      <c r="C1482" s="7"/>
      <c r="D1482" s="7"/>
    </row>
    <row r="1483" customFormat="false" ht="15" hidden="false" customHeight="false" outlineLevel="0" collapsed="false">
      <c r="A1483" s="6" t="str">
        <f aca="false">IF('DATA UNIT'!$B76="","",'DATA UNIT'!$B76)</f>
        <v>KT 8075 YZ</v>
      </c>
      <c r="B1483" s="6" t="str">
        <f aca="false">IF($A1483="","",INDEX(PlanningItemsList,2))</f>
        <v>Service A</v>
      </c>
      <c r="C1483" s="7"/>
      <c r="D1483" s="7"/>
    </row>
    <row r="1484" customFormat="false" ht="15" hidden="false" customHeight="false" outlineLevel="0" collapsed="false">
      <c r="A1484" s="6" t="str">
        <f aca="false">IF('DATA UNIT'!$B76="","",'DATA UNIT'!$B76)</f>
        <v>KT 8075 YZ</v>
      </c>
      <c r="B1484" s="6" t="str">
        <f aca="false">IF($A1484="","",INDEX(PlanningItemsList,3))</f>
        <v>Service B</v>
      </c>
      <c r="C1484" s="7"/>
      <c r="D1484" s="7"/>
    </row>
    <row r="1485" customFormat="false" ht="15" hidden="false" customHeight="false" outlineLevel="0" collapsed="false">
      <c r="A1485" s="6" t="str">
        <f aca="false">IF('DATA UNIT'!$B76="","",'DATA UNIT'!$B76)</f>
        <v>KT 8075 YZ</v>
      </c>
      <c r="B1485" s="6" t="str">
        <f aca="false">IF($A1485="","",INDEX(PlanningItemsList,4))</f>
        <v>Brake Pad</v>
      </c>
      <c r="C1485" s="7"/>
      <c r="D1485" s="7"/>
    </row>
    <row r="1486" customFormat="false" ht="15" hidden="false" customHeight="false" outlineLevel="0" collapsed="false">
      <c r="A1486" s="6" t="str">
        <f aca="false">IF('DATA UNIT'!$B76="","",'DATA UNIT'!$B76)</f>
        <v>KT 8075 YZ</v>
      </c>
      <c r="B1486" s="6" t="str">
        <f aca="false">IF($A1486="","",INDEX(PlanningItemsList,5))</f>
        <v>Brake Shoe</v>
      </c>
      <c r="C1486" s="7"/>
      <c r="D1486" s="7"/>
    </row>
    <row r="1487" customFormat="false" ht="15" hidden="false" customHeight="false" outlineLevel="0" collapsed="false">
      <c r="A1487" s="6" t="str">
        <f aca="false">IF('DATA UNIT'!$B76="","",'DATA UNIT'!$B76)</f>
        <v>KT 8075 YZ</v>
      </c>
      <c r="B1487" s="6" t="str">
        <f aca="false">IF($A1487="","",INDEX(PlanningItemsList,6))</f>
        <v>Accu</v>
      </c>
      <c r="C1487" s="7"/>
      <c r="D1487" s="7"/>
    </row>
    <row r="1488" customFormat="false" ht="15" hidden="false" customHeight="false" outlineLevel="0" collapsed="false">
      <c r="A1488" s="6" t="str">
        <f aca="false">IF('DATA UNIT'!$B76="","",'DATA UNIT'!$B76)</f>
        <v>KT 8075 YZ</v>
      </c>
      <c r="B1488" s="6" t="str">
        <f aca="false">IF($A1488="","",INDEX(PlanningItemsList,7))</f>
        <v>Kampas Kopling Set</v>
      </c>
      <c r="C1488" s="7"/>
      <c r="D1488" s="7"/>
    </row>
    <row r="1489" customFormat="false" ht="15" hidden="false" customHeight="false" outlineLevel="0" collapsed="false">
      <c r="A1489" s="6" t="str">
        <f aca="false">IF('DATA UNIT'!$B76="","",'DATA UNIT'!$B76)</f>
        <v>KT 8075 YZ</v>
      </c>
      <c r="B1489" s="6" t="str">
        <f aca="false">IF($A1489="","",INDEX(PlanningItemsList,8))</f>
        <v>Wiper Blade</v>
      </c>
      <c r="C1489" s="7"/>
      <c r="D1489" s="7"/>
    </row>
    <row r="1490" customFormat="false" ht="15" hidden="false" customHeight="false" outlineLevel="0" collapsed="false">
      <c r="A1490" s="6" t="str">
        <f aca="false">IF('DATA UNIT'!$B76="","",'DATA UNIT'!$B76)</f>
        <v>KT 8075 YZ</v>
      </c>
      <c r="B1490" s="6" t="str">
        <f aca="false">IF($A1490="","",INDEX(PlanningItemsList,9))</f>
        <v>Ban Depan</v>
      </c>
      <c r="C1490" s="7"/>
      <c r="D1490" s="7"/>
    </row>
    <row r="1491" customFormat="false" ht="15" hidden="false" customHeight="false" outlineLevel="0" collapsed="false">
      <c r="A1491" s="6" t="str">
        <f aca="false">IF('DATA UNIT'!$B76="","",'DATA UNIT'!$B76)</f>
        <v>KT 8075 YZ</v>
      </c>
      <c r="B1491" s="6" t="str">
        <f aca="false">IF($A1491="","",INDEX(PlanningItemsList,10))</f>
        <v>Ban Belakang</v>
      </c>
      <c r="C1491" s="7"/>
      <c r="D1491" s="7"/>
    </row>
    <row r="1492" customFormat="false" ht="15" hidden="false" customHeight="false" outlineLevel="0" collapsed="false">
      <c r="A1492" s="6" t="str">
        <f aca="false">IF('DATA UNIT'!$B76="","",'DATA UNIT'!$B76)</f>
        <v>KT 8075 YZ</v>
      </c>
      <c r="B1492" s="6" t="str">
        <f aca="false">IF($A1492="","",INDEX(PlanningItemsList,11))</f>
        <v>Ban Serep</v>
      </c>
      <c r="C1492" s="7"/>
      <c r="D1492" s="7"/>
    </row>
    <row r="1493" customFormat="false" ht="15" hidden="false" customHeight="false" outlineLevel="0" collapsed="false">
      <c r="A1493" s="6" t="str">
        <f aca="false">IF('DATA UNIT'!$B76="","",'DATA UNIT'!$B76)</f>
        <v>KT 8075 YZ</v>
      </c>
      <c r="B1493" s="6" t="str">
        <f aca="false">IF($A1493="","",INDEX(PlanningItemsList,12))</f>
        <v>Greasing</v>
      </c>
      <c r="C1493" s="7"/>
      <c r="D1493" s="7"/>
    </row>
    <row r="1494" customFormat="false" ht="15" hidden="false" customHeight="false" outlineLevel="0" collapsed="false">
      <c r="A1494" s="6" t="str">
        <f aca="false">IF('DATA UNIT'!$B76="","",'DATA UNIT'!$B76)</f>
        <v>KT 8075 YZ</v>
      </c>
      <c r="B1494" s="6" t="str">
        <f aca="false">IF($A1494="","",INDEX(PlanningItemsList,13))</f>
        <v>V-Belt</v>
      </c>
      <c r="C1494" s="7"/>
      <c r="D1494" s="7"/>
    </row>
    <row r="1495" customFormat="false" ht="15" hidden="false" customHeight="false" outlineLevel="0" collapsed="false">
      <c r="A1495" s="6" t="str">
        <f aca="false">IF('DATA UNIT'!$B76="","",'DATA UNIT'!$B76)</f>
        <v>KT 8075 YZ</v>
      </c>
      <c r="B1495" s="6" t="str">
        <f aca="false">IF($A1495="","",INDEX(PlanningItemsList,14))</f>
        <v>Sarung Jok</v>
      </c>
      <c r="C1495" s="7"/>
      <c r="D1495" s="7"/>
    </row>
    <row r="1496" customFormat="false" ht="15" hidden="false" customHeight="false" outlineLevel="0" collapsed="false">
      <c r="A1496" s="6" t="str">
        <f aca="false">IF('DATA UNIT'!$B76="","",'DATA UNIT'!$B76)</f>
        <v>KT 8075 YZ</v>
      </c>
      <c r="B1496" s="6" t="str">
        <f aca="false">IF($A1496="","",INDEX(PlanningItemsList,15))</f>
        <v>Karpet Karet</v>
      </c>
      <c r="C1496" s="7"/>
      <c r="D1496" s="7"/>
    </row>
    <row r="1497" customFormat="false" ht="15" hidden="false" customHeight="false" outlineLevel="0" collapsed="false">
      <c r="A1497" s="6" t="str">
        <f aca="false">IF('DATA UNIT'!$B76="","",'DATA UNIT'!$B76)</f>
        <v>KT 8075 YZ</v>
      </c>
      <c r="B1497" s="6" t="str">
        <f aca="false">IF($A1497="","",INDEX(PlanningItemsList,16))</f>
        <v>Karpet Dasar</v>
      </c>
      <c r="C1497" s="7"/>
      <c r="D1497" s="7"/>
    </row>
    <row r="1498" customFormat="false" ht="15" hidden="false" customHeight="false" outlineLevel="0" collapsed="false">
      <c r="A1498" s="6" t="str">
        <f aca="false">IF('DATA UNIT'!$B76="","",'DATA UNIT'!$B76)</f>
        <v>KT 8075 YZ</v>
      </c>
      <c r="B1498" s="6" t="str">
        <f aca="false">IF($A1498="","",INDEX(PlanningItemsList,17))</f>
        <v>Flushing Radiator</v>
      </c>
      <c r="C1498" s="7"/>
      <c r="D1498" s="7"/>
    </row>
    <row r="1499" customFormat="false" ht="15" hidden="false" customHeight="false" outlineLevel="0" collapsed="false">
      <c r="A1499" s="6" t="str">
        <f aca="false">IF('DATA UNIT'!$B76="","",'DATA UNIT'!$B76)</f>
        <v>KT 8075 YZ</v>
      </c>
      <c r="B1499" s="6" t="str">
        <f aca="false">IF($A1499="","",INDEX(PlanningItemsList,18))</f>
        <v>Flushing Steering</v>
      </c>
      <c r="C1499" s="7"/>
      <c r="D1499" s="7"/>
    </row>
    <row r="1500" customFormat="false" ht="15" hidden="false" customHeight="false" outlineLevel="0" collapsed="false">
      <c r="A1500" s="6" t="str">
        <f aca="false">IF('DATA UNIT'!$B76="","",'DATA UNIT'!$B76)</f>
        <v>KT 8075 YZ</v>
      </c>
      <c r="B1500" s="6" t="str">
        <f aca="false">IF($A1500="","",INDEX(PlanningItemsList,19))</f>
        <v>Flushing Injector</v>
      </c>
      <c r="C1500" s="7"/>
      <c r="D1500" s="7"/>
    </row>
    <row r="1501" customFormat="false" ht="15" hidden="false" customHeight="false" outlineLevel="0" collapsed="false">
      <c r="A1501" s="6" t="str">
        <f aca="false">IF('DATA UNIT'!$B76="","",'DATA UNIT'!$B76)</f>
        <v>KT 8075 YZ</v>
      </c>
      <c r="B1501" s="6" t="str">
        <f aca="false">IF($A1501="","",INDEX(PlanningItemsList,20))</f>
        <v>Flushing Rem</v>
      </c>
      <c r="C1501" s="7"/>
      <c r="D1501" s="7"/>
    </row>
    <row r="1502" customFormat="false" ht="15" hidden="false" customHeight="false" outlineLevel="0" collapsed="false">
      <c r="A1502" s="6" t="str">
        <f aca="false">IF('DATA UNIT'!$B77="","",'DATA UNIT'!$B77)</f>
        <v>KT 8162 ZA</v>
      </c>
      <c r="B1502" s="6" t="str">
        <f aca="false">IF($A1502="","",INDEX(PlanningItemsList,1))</f>
        <v>PM Check / Reguler Services</v>
      </c>
      <c r="C1502" s="7"/>
      <c r="D1502" s="7"/>
    </row>
    <row r="1503" customFormat="false" ht="15" hidden="false" customHeight="false" outlineLevel="0" collapsed="false">
      <c r="A1503" s="6" t="str">
        <f aca="false">IF('DATA UNIT'!$B77="","",'DATA UNIT'!$B77)</f>
        <v>KT 8162 ZA</v>
      </c>
      <c r="B1503" s="6" t="str">
        <f aca="false">IF($A1503="","",INDEX(PlanningItemsList,2))</f>
        <v>Service A</v>
      </c>
      <c r="C1503" s="7"/>
      <c r="D1503" s="7"/>
    </row>
    <row r="1504" customFormat="false" ht="15" hidden="false" customHeight="false" outlineLevel="0" collapsed="false">
      <c r="A1504" s="6" t="str">
        <f aca="false">IF('DATA UNIT'!$B77="","",'DATA UNIT'!$B77)</f>
        <v>KT 8162 ZA</v>
      </c>
      <c r="B1504" s="6" t="str">
        <f aca="false">IF($A1504="","",INDEX(PlanningItemsList,3))</f>
        <v>Service B</v>
      </c>
      <c r="C1504" s="7"/>
      <c r="D1504" s="7"/>
    </row>
    <row r="1505" customFormat="false" ht="15" hidden="false" customHeight="false" outlineLevel="0" collapsed="false">
      <c r="A1505" s="6" t="str">
        <f aca="false">IF('DATA UNIT'!$B77="","",'DATA UNIT'!$B77)</f>
        <v>KT 8162 ZA</v>
      </c>
      <c r="B1505" s="6" t="str">
        <f aca="false">IF($A1505="","",INDEX(PlanningItemsList,4))</f>
        <v>Brake Pad</v>
      </c>
      <c r="C1505" s="7"/>
      <c r="D1505" s="7"/>
    </row>
    <row r="1506" customFormat="false" ht="15" hidden="false" customHeight="false" outlineLevel="0" collapsed="false">
      <c r="A1506" s="6" t="str">
        <f aca="false">IF('DATA UNIT'!$B77="","",'DATA UNIT'!$B77)</f>
        <v>KT 8162 ZA</v>
      </c>
      <c r="B1506" s="6" t="str">
        <f aca="false">IF($A1506="","",INDEX(PlanningItemsList,5))</f>
        <v>Brake Shoe</v>
      </c>
      <c r="C1506" s="7"/>
      <c r="D1506" s="7"/>
    </row>
    <row r="1507" customFormat="false" ht="15" hidden="false" customHeight="false" outlineLevel="0" collapsed="false">
      <c r="A1507" s="6" t="str">
        <f aca="false">IF('DATA UNIT'!$B77="","",'DATA UNIT'!$B77)</f>
        <v>KT 8162 ZA</v>
      </c>
      <c r="B1507" s="6" t="str">
        <f aca="false">IF($A1507="","",INDEX(PlanningItemsList,6))</f>
        <v>Accu</v>
      </c>
      <c r="C1507" s="7"/>
      <c r="D1507" s="7"/>
    </row>
    <row r="1508" customFormat="false" ht="15" hidden="false" customHeight="false" outlineLevel="0" collapsed="false">
      <c r="A1508" s="6" t="str">
        <f aca="false">IF('DATA UNIT'!$B77="","",'DATA UNIT'!$B77)</f>
        <v>KT 8162 ZA</v>
      </c>
      <c r="B1508" s="6" t="str">
        <f aca="false">IF($A1508="","",INDEX(PlanningItemsList,7))</f>
        <v>Kampas Kopling Set</v>
      </c>
      <c r="C1508" s="7"/>
      <c r="D1508" s="7"/>
    </row>
    <row r="1509" customFormat="false" ht="15" hidden="false" customHeight="false" outlineLevel="0" collapsed="false">
      <c r="A1509" s="6" t="str">
        <f aca="false">IF('DATA UNIT'!$B77="","",'DATA UNIT'!$B77)</f>
        <v>KT 8162 ZA</v>
      </c>
      <c r="B1509" s="6" t="str">
        <f aca="false">IF($A1509="","",INDEX(PlanningItemsList,8))</f>
        <v>Wiper Blade</v>
      </c>
      <c r="C1509" s="7"/>
      <c r="D1509" s="7"/>
    </row>
    <row r="1510" customFormat="false" ht="15" hidden="false" customHeight="false" outlineLevel="0" collapsed="false">
      <c r="A1510" s="6" t="str">
        <f aca="false">IF('DATA UNIT'!$B77="","",'DATA UNIT'!$B77)</f>
        <v>KT 8162 ZA</v>
      </c>
      <c r="B1510" s="6" t="str">
        <f aca="false">IF($A1510="","",INDEX(PlanningItemsList,9))</f>
        <v>Ban Depan</v>
      </c>
      <c r="C1510" s="7"/>
      <c r="D1510" s="7"/>
    </row>
    <row r="1511" customFormat="false" ht="15" hidden="false" customHeight="false" outlineLevel="0" collapsed="false">
      <c r="A1511" s="6" t="str">
        <f aca="false">IF('DATA UNIT'!$B77="","",'DATA UNIT'!$B77)</f>
        <v>KT 8162 ZA</v>
      </c>
      <c r="B1511" s="6" t="str">
        <f aca="false">IF($A1511="","",INDEX(PlanningItemsList,10))</f>
        <v>Ban Belakang</v>
      </c>
      <c r="C1511" s="7"/>
      <c r="D1511" s="7"/>
    </row>
    <row r="1512" customFormat="false" ht="15" hidden="false" customHeight="false" outlineLevel="0" collapsed="false">
      <c r="A1512" s="6" t="str">
        <f aca="false">IF('DATA UNIT'!$B77="","",'DATA UNIT'!$B77)</f>
        <v>KT 8162 ZA</v>
      </c>
      <c r="B1512" s="6" t="str">
        <f aca="false">IF($A1512="","",INDEX(PlanningItemsList,11))</f>
        <v>Ban Serep</v>
      </c>
      <c r="C1512" s="7"/>
      <c r="D1512" s="7"/>
    </row>
    <row r="1513" customFormat="false" ht="15" hidden="false" customHeight="false" outlineLevel="0" collapsed="false">
      <c r="A1513" s="6" t="str">
        <f aca="false">IF('DATA UNIT'!$B77="","",'DATA UNIT'!$B77)</f>
        <v>KT 8162 ZA</v>
      </c>
      <c r="B1513" s="6" t="str">
        <f aca="false">IF($A1513="","",INDEX(PlanningItemsList,12))</f>
        <v>Greasing</v>
      </c>
      <c r="C1513" s="7"/>
      <c r="D1513" s="7"/>
    </row>
    <row r="1514" customFormat="false" ht="15" hidden="false" customHeight="false" outlineLevel="0" collapsed="false">
      <c r="A1514" s="6" t="str">
        <f aca="false">IF('DATA UNIT'!$B77="","",'DATA UNIT'!$B77)</f>
        <v>KT 8162 ZA</v>
      </c>
      <c r="B1514" s="6" t="str">
        <f aca="false">IF($A1514="","",INDEX(PlanningItemsList,13))</f>
        <v>V-Belt</v>
      </c>
      <c r="C1514" s="7"/>
      <c r="D1514" s="7"/>
    </row>
    <row r="1515" customFormat="false" ht="15" hidden="false" customHeight="false" outlineLevel="0" collapsed="false">
      <c r="A1515" s="6" t="str">
        <f aca="false">IF('DATA UNIT'!$B77="","",'DATA UNIT'!$B77)</f>
        <v>KT 8162 ZA</v>
      </c>
      <c r="B1515" s="6" t="str">
        <f aca="false">IF($A1515="","",INDEX(PlanningItemsList,14))</f>
        <v>Sarung Jok</v>
      </c>
      <c r="C1515" s="7"/>
      <c r="D1515" s="7"/>
    </row>
    <row r="1516" customFormat="false" ht="15" hidden="false" customHeight="false" outlineLevel="0" collapsed="false">
      <c r="A1516" s="6" t="str">
        <f aca="false">IF('DATA UNIT'!$B77="","",'DATA UNIT'!$B77)</f>
        <v>KT 8162 ZA</v>
      </c>
      <c r="B1516" s="6" t="str">
        <f aca="false">IF($A1516="","",INDEX(PlanningItemsList,15))</f>
        <v>Karpet Karet</v>
      </c>
      <c r="C1516" s="7"/>
      <c r="D1516" s="7"/>
    </row>
    <row r="1517" customFormat="false" ht="15" hidden="false" customHeight="false" outlineLevel="0" collapsed="false">
      <c r="A1517" s="6" t="str">
        <f aca="false">IF('DATA UNIT'!$B77="","",'DATA UNIT'!$B77)</f>
        <v>KT 8162 ZA</v>
      </c>
      <c r="B1517" s="6" t="str">
        <f aca="false">IF($A1517="","",INDEX(PlanningItemsList,16))</f>
        <v>Karpet Dasar</v>
      </c>
      <c r="C1517" s="7"/>
      <c r="D1517" s="7"/>
    </row>
    <row r="1518" customFormat="false" ht="15" hidden="false" customHeight="false" outlineLevel="0" collapsed="false">
      <c r="A1518" s="6" t="str">
        <f aca="false">IF('DATA UNIT'!$B77="","",'DATA UNIT'!$B77)</f>
        <v>KT 8162 ZA</v>
      </c>
      <c r="B1518" s="6" t="str">
        <f aca="false">IF($A1518="","",INDEX(PlanningItemsList,17))</f>
        <v>Flushing Radiator</v>
      </c>
      <c r="C1518" s="7"/>
      <c r="D1518" s="7"/>
    </row>
    <row r="1519" customFormat="false" ht="15" hidden="false" customHeight="false" outlineLevel="0" collapsed="false">
      <c r="A1519" s="6" t="str">
        <f aca="false">IF('DATA UNIT'!$B77="","",'DATA UNIT'!$B77)</f>
        <v>KT 8162 ZA</v>
      </c>
      <c r="B1519" s="6" t="str">
        <f aca="false">IF($A1519="","",INDEX(PlanningItemsList,18))</f>
        <v>Flushing Steering</v>
      </c>
      <c r="C1519" s="7"/>
      <c r="D1519" s="7"/>
    </row>
    <row r="1520" customFormat="false" ht="15" hidden="false" customHeight="false" outlineLevel="0" collapsed="false">
      <c r="A1520" s="6" t="str">
        <f aca="false">IF('DATA UNIT'!$B77="","",'DATA UNIT'!$B77)</f>
        <v>KT 8162 ZA</v>
      </c>
      <c r="B1520" s="6" t="str">
        <f aca="false">IF($A1520="","",INDEX(PlanningItemsList,19))</f>
        <v>Flushing Injector</v>
      </c>
      <c r="C1520" s="7"/>
      <c r="D1520" s="7"/>
    </row>
    <row r="1521" customFormat="false" ht="15" hidden="false" customHeight="false" outlineLevel="0" collapsed="false">
      <c r="A1521" s="6" t="str">
        <f aca="false">IF('DATA UNIT'!$B77="","",'DATA UNIT'!$B77)</f>
        <v>KT 8162 ZA</v>
      </c>
      <c r="B1521" s="6" t="str">
        <f aca="false">IF($A1521="","",INDEX(PlanningItemsList,20))</f>
        <v>Flushing Rem</v>
      </c>
      <c r="C1521" s="7"/>
      <c r="D1521" s="7"/>
    </row>
    <row r="1522" customFormat="false" ht="15" hidden="false" customHeight="false" outlineLevel="0" collapsed="false">
      <c r="A1522" s="6" t="str">
        <f aca="false">IF('DATA UNIT'!$B78="","",'DATA UNIT'!$B78)</f>
        <v>DD 8003 UC</v>
      </c>
      <c r="B1522" s="6" t="str">
        <f aca="false">IF($A1522="","",INDEX(PlanningItemsList,1))</f>
        <v>PM Check / Reguler Services</v>
      </c>
      <c r="C1522" s="7"/>
      <c r="D1522" s="7"/>
    </row>
    <row r="1523" customFormat="false" ht="15" hidden="false" customHeight="false" outlineLevel="0" collapsed="false">
      <c r="A1523" s="6" t="str">
        <f aca="false">IF('DATA UNIT'!$B78="","",'DATA UNIT'!$B78)</f>
        <v>DD 8003 UC</v>
      </c>
      <c r="B1523" s="6" t="str">
        <f aca="false">IF($A1523="","",INDEX(PlanningItemsList,2))</f>
        <v>Service A</v>
      </c>
      <c r="C1523" s="7"/>
      <c r="D1523" s="7"/>
    </row>
    <row r="1524" customFormat="false" ht="15" hidden="false" customHeight="false" outlineLevel="0" collapsed="false">
      <c r="A1524" s="6" t="str">
        <f aca="false">IF('DATA UNIT'!$B78="","",'DATA UNIT'!$B78)</f>
        <v>DD 8003 UC</v>
      </c>
      <c r="B1524" s="6" t="str">
        <f aca="false">IF($A1524="","",INDEX(PlanningItemsList,3))</f>
        <v>Service B</v>
      </c>
      <c r="C1524" s="7"/>
      <c r="D1524" s="7"/>
    </row>
    <row r="1525" customFormat="false" ht="15" hidden="false" customHeight="false" outlineLevel="0" collapsed="false">
      <c r="A1525" s="6" t="str">
        <f aca="false">IF('DATA UNIT'!$B78="","",'DATA UNIT'!$B78)</f>
        <v>DD 8003 UC</v>
      </c>
      <c r="B1525" s="6" t="str">
        <f aca="false">IF($A1525="","",INDEX(PlanningItemsList,4))</f>
        <v>Brake Pad</v>
      </c>
      <c r="C1525" s="7"/>
      <c r="D1525" s="7"/>
    </row>
    <row r="1526" customFormat="false" ht="15" hidden="false" customHeight="false" outlineLevel="0" collapsed="false">
      <c r="A1526" s="6" t="str">
        <f aca="false">IF('DATA UNIT'!$B78="","",'DATA UNIT'!$B78)</f>
        <v>DD 8003 UC</v>
      </c>
      <c r="B1526" s="6" t="str">
        <f aca="false">IF($A1526="","",INDEX(PlanningItemsList,5))</f>
        <v>Brake Shoe</v>
      </c>
      <c r="C1526" s="7"/>
      <c r="D1526" s="7"/>
    </row>
    <row r="1527" customFormat="false" ht="15" hidden="false" customHeight="false" outlineLevel="0" collapsed="false">
      <c r="A1527" s="6" t="str">
        <f aca="false">IF('DATA UNIT'!$B78="","",'DATA UNIT'!$B78)</f>
        <v>DD 8003 UC</v>
      </c>
      <c r="B1527" s="6" t="str">
        <f aca="false">IF($A1527="","",INDEX(PlanningItemsList,6))</f>
        <v>Accu</v>
      </c>
      <c r="C1527" s="7"/>
      <c r="D1527" s="7"/>
    </row>
    <row r="1528" customFormat="false" ht="15" hidden="false" customHeight="false" outlineLevel="0" collapsed="false">
      <c r="A1528" s="6" t="str">
        <f aca="false">IF('DATA UNIT'!$B78="","",'DATA UNIT'!$B78)</f>
        <v>DD 8003 UC</v>
      </c>
      <c r="B1528" s="6" t="str">
        <f aca="false">IF($A1528="","",INDEX(PlanningItemsList,7))</f>
        <v>Kampas Kopling Set</v>
      </c>
      <c r="C1528" s="7"/>
      <c r="D1528" s="7"/>
    </row>
    <row r="1529" customFormat="false" ht="15" hidden="false" customHeight="false" outlineLevel="0" collapsed="false">
      <c r="A1529" s="6" t="str">
        <f aca="false">IF('DATA UNIT'!$B78="","",'DATA UNIT'!$B78)</f>
        <v>DD 8003 UC</v>
      </c>
      <c r="B1529" s="6" t="str">
        <f aca="false">IF($A1529="","",INDEX(PlanningItemsList,8))</f>
        <v>Wiper Blade</v>
      </c>
      <c r="C1529" s="7"/>
      <c r="D1529" s="7"/>
    </row>
    <row r="1530" customFormat="false" ht="15" hidden="false" customHeight="false" outlineLevel="0" collapsed="false">
      <c r="A1530" s="6" t="str">
        <f aca="false">IF('DATA UNIT'!$B78="","",'DATA UNIT'!$B78)</f>
        <v>DD 8003 UC</v>
      </c>
      <c r="B1530" s="6" t="str">
        <f aca="false">IF($A1530="","",INDEX(PlanningItemsList,9))</f>
        <v>Ban Depan</v>
      </c>
      <c r="C1530" s="7"/>
      <c r="D1530" s="7"/>
    </row>
    <row r="1531" customFormat="false" ht="15" hidden="false" customHeight="false" outlineLevel="0" collapsed="false">
      <c r="A1531" s="6" t="str">
        <f aca="false">IF('DATA UNIT'!$B78="","",'DATA UNIT'!$B78)</f>
        <v>DD 8003 UC</v>
      </c>
      <c r="B1531" s="6" t="str">
        <f aca="false">IF($A1531="","",INDEX(PlanningItemsList,10))</f>
        <v>Ban Belakang</v>
      </c>
      <c r="C1531" s="7"/>
      <c r="D1531" s="7"/>
    </row>
    <row r="1532" customFormat="false" ht="15" hidden="false" customHeight="false" outlineLevel="0" collapsed="false">
      <c r="A1532" s="6" t="str">
        <f aca="false">IF('DATA UNIT'!$B78="","",'DATA UNIT'!$B78)</f>
        <v>DD 8003 UC</v>
      </c>
      <c r="B1532" s="6" t="str">
        <f aca="false">IF($A1532="","",INDEX(PlanningItemsList,11))</f>
        <v>Ban Serep</v>
      </c>
      <c r="C1532" s="7"/>
      <c r="D1532" s="7"/>
    </row>
    <row r="1533" customFormat="false" ht="15" hidden="false" customHeight="false" outlineLevel="0" collapsed="false">
      <c r="A1533" s="6" t="str">
        <f aca="false">IF('DATA UNIT'!$B78="","",'DATA UNIT'!$B78)</f>
        <v>DD 8003 UC</v>
      </c>
      <c r="B1533" s="6" t="str">
        <f aca="false">IF($A1533="","",INDEX(PlanningItemsList,12))</f>
        <v>Greasing</v>
      </c>
      <c r="C1533" s="7"/>
      <c r="D1533" s="7"/>
    </row>
    <row r="1534" customFormat="false" ht="15" hidden="false" customHeight="false" outlineLevel="0" collapsed="false">
      <c r="A1534" s="6" t="str">
        <f aca="false">IF('DATA UNIT'!$B78="","",'DATA UNIT'!$B78)</f>
        <v>DD 8003 UC</v>
      </c>
      <c r="B1534" s="6" t="str">
        <f aca="false">IF($A1534="","",INDEX(PlanningItemsList,13))</f>
        <v>V-Belt</v>
      </c>
      <c r="C1534" s="7"/>
      <c r="D1534" s="7"/>
    </row>
    <row r="1535" customFormat="false" ht="15" hidden="false" customHeight="false" outlineLevel="0" collapsed="false">
      <c r="A1535" s="6" t="str">
        <f aca="false">IF('DATA UNIT'!$B78="","",'DATA UNIT'!$B78)</f>
        <v>DD 8003 UC</v>
      </c>
      <c r="B1535" s="6" t="str">
        <f aca="false">IF($A1535="","",INDEX(PlanningItemsList,14))</f>
        <v>Sarung Jok</v>
      </c>
      <c r="C1535" s="7"/>
      <c r="D1535" s="7"/>
    </row>
    <row r="1536" customFormat="false" ht="15" hidden="false" customHeight="false" outlineLevel="0" collapsed="false">
      <c r="A1536" s="6" t="str">
        <f aca="false">IF('DATA UNIT'!$B78="","",'DATA UNIT'!$B78)</f>
        <v>DD 8003 UC</v>
      </c>
      <c r="B1536" s="6" t="str">
        <f aca="false">IF($A1536="","",INDEX(PlanningItemsList,15))</f>
        <v>Karpet Karet</v>
      </c>
      <c r="C1536" s="7"/>
      <c r="D1536" s="7"/>
    </row>
    <row r="1537" customFormat="false" ht="15" hidden="false" customHeight="false" outlineLevel="0" collapsed="false">
      <c r="A1537" s="6" t="str">
        <f aca="false">IF('DATA UNIT'!$B78="","",'DATA UNIT'!$B78)</f>
        <v>DD 8003 UC</v>
      </c>
      <c r="B1537" s="6" t="str">
        <f aca="false">IF($A1537="","",INDEX(PlanningItemsList,16))</f>
        <v>Karpet Dasar</v>
      </c>
      <c r="C1537" s="7"/>
      <c r="D1537" s="7"/>
    </row>
    <row r="1538" customFormat="false" ht="15" hidden="false" customHeight="false" outlineLevel="0" collapsed="false">
      <c r="A1538" s="6" t="str">
        <f aca="false">IF('DATA UNIT'!$B78="","",'DATA UNIT'!$B78)</f>
        <v>DD 8003 UC</v>
      </c>
      <c r="B1538" s="6" t="str">
        <f aca="false">IF($A1538="","",INDEX(PlanningItemsList,17))</f>
        <v>Flushing Radiator</v>
      </c>
      <c r="C1538" s="7"/>
      <c r="D1538" s="7"/>
    </row>
    <row r="1539" customFormat="false" ht="15" hidden="false" customHeight="false" outlineLevel="0" collapsed="false">
      <c r="A1539" s="6" t="str">
        <f aca="false">IF('DATA UNIT'!$B78="","",'DATA UNIT'!$B78)</f>
        <v>DD 8003 UC</v>
      </c>
      <c r="B1539" s="6" t="str">
        <f aca="false">IF($A1539="","",INDEX(PlanningItemsList,18))</f>
        <v>Flushing Steering</v>
      </c>
      <c r="C1539" s="7"/>
      <c r="D1539" s="7"/>
    </row>
    <row r="1540" customFormat="false" ht="15" hidden="false" customHeight="false" outlineLevel="0" collapsed="false">
      <c r="A1540" s="6" t="str">
        <f aca="false">IF('DATA UNIT'!$B78="","",'DATA UNIT'!$B78)</f>
        <v>DD 8003 UC</v>
      </c>
      <c r="B1540" s="6" t="str">
        <f aca="false">IF($A1540="","",INDEX(PlanningItemsList,19))</f>
        <v>Flushing Injector</v>
      </c>
      <c r="C1540" s="7"/>
      <c r="D1540" s="7"/>
    </row>
    <row r="1541" customFormat="false" ht="15" hidden="false" customHeight="false" outlineLevel="0" collapsed="false">
      <c r="A1541" s="6" t="str">
        <f aca="false">IF('DATA UNIT'!$B78="","",'DATA UNIT'!$B78)</f>
        <v>DD 8003 UC</v>
      </c>
      <c r="B1541" s="6" t="str">
        <f aca="false">IF($A1541="","",INDEX(PlanningItemsList,20))</f>
        <v>Flushing Rem</v>
      </c>
      <c r="C1541" s="7"/>
      <c r="D1541" s="7"/>
    </row>
    <row r="1542" customFormat="false" ht="15" hidden="false" customHeight="false" outlineLevel="0" collapsed="false">
      <c r="A1542" s="6" t="str">
        <f aca="false">IF('DATA UNIT'!$B79="","",'DATA UNIT'!$B79)</f>
        <v>KT 8170 ZA</v>
      </c>
      <c r="B1542" s="6" t="str">
        <f aca="false">IF($A1542="","",INDEX(PlanningItemsList,1))</f>
        <v>PM Check / Reguler Services</v>
      </c>
      <c r="C1542" s="7"/>
      <c r="D1542" s="7"/>
    </row>
    <row r="1543" customFormat="false" ht="15" hidden="false" customHeight="false" outlineLevel="0" collapsed="false">
      <c r="A1543" s="6" t="str">
        <f aca="false">IF('DATA UNIT'!$B79="","",'DATA UNIT'!$B79)</f>
        <v>KT 8170 ZA</v>
      </c>
      <c r="B1543" s="6" t="str">
        <f aca="false">IF($A1543="","",INDEX(PlanningItemsList,2))</f>
        <v>Service A</v>
      </c>
      <c r="C1543" s="7"/>
      <c r="D1543" s="7"/>
    </row>
    <row r="1544" customFormat="false" ht="15" hidden="false" customHeight="false" outlineLevel="0" collapsed="false">
      <c r="A1544" s="6" t="str">
        <f aca="false">IF('DATA UNIT'!$B79="","",'DATA UNIT'!$B79)</f>
        <v>KT 8170 ZA</v>
      </c>
      <c r="B1544" s="6" t="str">
        <f aca="false">IF($A1544="","",INDEX(PlanningItemsList,3))</f>
        <v>Service B</v>
      </c>
      <c r="C1544" s="7"/>
      <c r="D1544" s="7"/>
    </row>
    <row r="1545" customFormat="false" ht="15" hidden="false" customHeight="false" outlineLevel="0" collapsed="false">
      <c r="A1545" s="6" t="str">
        <f aca="false">IF('DATA UNIT'!$B79="","",'DATA UNIT'!$B79)</f>
        <v>KT 8170 ZA</v>
      </c>
      <c r="B1545" s="6" t="str">
        <f aca="false">IF($A1545="","",INDEX(PlanningItemsList,4))</f>
        <v>Brake Pad</v>
      </c>
      <c r="C1545" s="7"/>
      <c r="D1545" s="7"/>
    </row>
    <row r="1546" customFormat="false" ht="15" hidden="false" customHeight="false" outlineLevel="0" collapsed="false">
      <c r="A1546" s="6" t="str">
        <f aca="false">IF('DATA UNIT'!$B79="","",'DATA UNIT'!$B79)</f>
        <v>KT 8170 ZA</v>
      </c>
      <c r="B1546" s="6" t="str">
        <f aca="false">IF($A1546="","",INDEX(PlanningItemsList,5))</f>
        <v>Brake Shoe</v>
      </c>
      <c r="C1546" s="7"/>
      <c r="D1546" s="7"/>
    </row>
    <row r="1547" customFormat="false" ht="15" hidden="false" customHeight="false" outlineLevel="0" collapsed="false">
      <c r="A1547" s="6" t="str">
        <f aca="false">IF('DATA UNIT'!$B79="","",'DATA UNIT'!$B79)</f>
        <v>KT 8170 ZA</v>
      </c>
      <c r="B1547" s="6" t="str">
        <f aca="false">IF($A1547="","",INDEX(PlanningItemsList,6))</f>
        <v>Accu</v>
      </c>
      <c r="C1547" s="7"/>
      <c r="D1547" s="7"/>
    </row>
    <row r="1548" customFormat="false" ht="15" hidden="false" customHeight="false" outlineLevel="0" collapsed="false">
      <c r="A1548" s="6" t="str">
        <f aca="false">IF('DATA UNIT'!$B79="","",'DATA UNIT'!$B79)</f>
        <v>KT 8170 ZA</v>
      </c>
      <c r="B1548" s="6" t="str">
        <f aca="false">IF($A1548="","",INDEX(PlanningItemsList,7))</f>
        <v>Kampas Kopling Set</v>
      </c>
      <c r="C1548" s="7"/>
      <c r="D1548" s="7"/>
    </row>
    <row r="1549" customFormat="false" ht="15" hidden="false" customHeight="false" outlineLevel="0" collapsed="false">
      <c r="A1549" s="6" t="str">
        <f aca="false">IF('DATA UNIT'!$B79="","",'DATA UNIT'!$B79)</f>
        <v>KT 8170 ZA</v>
      </c>
      <c r="B1549" s="6" t="str">
        <f aca="false">IF($A1549="","",INDEX(PlanningItemsList,8))</f>
        <v>Wiper Blade</v>
      </c>
      <c r="C1549" s="7"/>
      <c r="D1549" s="7"/>
    </row>
    <row r="1550" customFormat="false" ht="15" hidden="false" customHeight="false" outlineLevel="0" collapsed="false">
      <c r="A1550" s="6" t="str">
        <f aca="false">IF('DATA UNIT'!$B79="","",'DATA UNIT'!$B79)</f>
        <v>KT 8170 ZA</v>
      </c>
      <c r="B1550" s="6" t="str">
        <f aca="false">IF($A1550="","",INDEX(PlanningItemsList,9))</f>
        <v>Ban Depan</v>
      </c>
      <c r="C1550" s="7"/>
      <c r="D1550" s="7"/>
    </row>
    <row r="1551" customFormat="false" ht="15" hidden="false" customHeight="false" outlineLevel="0" collapsed="false">
      <c r="A1551" s="6" t="str">
        <f aca="false">IF('DATA UNIT'!$B79="","",'DATA UNIT'!$B79)</f>
        <v>KT 8170 ZA</v>
      </c>
      <c r="B1551" s="6" t="str">
        <f aca="false">IF($A1551="","",INDEX(PlanningItemsList,10))</f>
        <v>Ban Belakang</v>
      </c>
      <c r="C1551" s="7"/>
      <c r="D1551" s="7"/>
    </row>
    <row r="1552" customFormat="false" ht="15" hidden="false" customHeight="false" outlineLevel="0" collapsed="false">
      <c r="A1552" s="6" t="str">
        <f aca="false">IF('DATA UNIT'!$B79="","",'DATA UNIT'!$B79)</f>
        <v>KT 8170 ZA</v>
      </c>
      <c r="B1552" s="6" t="str">
        <f aca="false">IF($A1552="","",INDEX(PlanningItemsList,11))</f>
        <v>Ban Serep</v>
      </c>
      <c r="C1552" s="7"/>
      <c r="D1552" s="7"/>
    </row>
    <row r="1553" customFormat="false" ht="15" hidden="false" customHeight="false" outlineLevel="0" collapsed="false">
      <c r="A1553" s="6" t="str">
        <f aca="false">IF('DATA UNIT'!$B79="","",'DATA UNIT'!$B79)</f>
        <v>KT 8170 ZA</v>
      </c>
      <c r="B1553" s="6" t="str">
        <f aca="false">IF($A1553="","",INDEX(PlanningItemsList,12))</f>
        <v>Greasing</v>
      </c>
      <c r="C1553" s="7"/>
      <c r="D1553" s="7"/>
    </row>
    <row r="1554" customFormat="false" ht="15" hidden="false" customHeight="false" outlineLevel="0" collapsed="false">
      <c r="A1554" s="6" t="str">
        <f aca="false">IF('DATA UNIT'!$B79="","",'DATA UNIT'!$B79)</f>
        <v>KT 8170 ZA</v>
      </c>
      <c r="B1554" s="6" t="str">
        <f aca="false">IF($A1554="","",INDEX(PlanningItemsList,13))</f>
        <v>V-Belt</v>
      </c>
      <c r="C1554" s="7"/>
      <c r="D1554" s="7"/>
    </row>
    <row r="1555" customFormat="false" ht="15" hidden="false" customHeight="false" outlineLevel="0" collapsed="false">
      <c r="A1555" s="6" t="str">
        <f aca="false">IF('DATA UNIT'!$B79="","",'DATA UNIT'!$B79)</f>
        <v>KT 8170 ZA</v>
      </c>
      <c r="B1555" s="6" t="str">
        <f aca="false">IF($A1555="","",INDEX(PlanningItemsList,14))</f>
        <v>Sarung Jok</v>
      </c>
      <c r="C1555" s="7"/>
      <c r="D1555" s="7"/>
    </row>
    <row r="1556" customFormat="false" ht="15" hidden="false" customHeight="false" outlineLevel="0" collapsed="false">
      <c r="A1556" s="6" t="str">
        <f aca="false">IF('DATA UNIT'!$B79="","",'DATA UNIT'!$B79)</f>
        <v>KT 8170 ZA</v>
      </c>
      <c r="B1556" s="6" t="str">
        <f aca="false">IF($A1556="","",INDEX(PlanningItemsList,15))</f>
        <v>Karpet Karet</v>
      </c>
      <c r="C1556" s="7"/>
      <c r="D1556" s="7"/>
    </row>
    <row r="1557" customFormat="false" ht="15" hidden="false" customHeight="false" outlineLevel="0" collapsed="false">
      <c r="A1557" s="6" t="str">
        <f aca="false">IF('DATA UNIT'!$B79="","",'DATA UNIT'!$B79)</f>
        <v>KT 8170 ZA</v>
      </c>
      <c r="B1557" s="6" t="str">
        <f aca="false">IF($A1557="","",INDEX(PlanningItemsList,16))</f>
        <v>Karpet Dasar</v>
      </c>
      <c r="C1557" s="7"/>
      <c r="D1557" s="7"/>
    </row>
    <row r="1558" customFormat="false" ht="15" hidden="false" customHeight="false" outlineLevel="0" collapsed="false">
      <c r="A1558" s="6" t="str">
        <f aca="false">IF('DATA UNIT'!$B79="","",'DATA UNIT'!$B79)</f>
        <v>KT 8170 ZA</v>
      </c>
      <c r="B1558" s="6" t="str">
        <f aca="false">IF($A1558="","",INDEX(PlanningItemsList,17))</f>
        <v>Flushing Radiator</v>
      </c>
      <c r="C1558" s="7"/>
      <c r="D1558" s="7"/>
    </row>
    <row r="1559" customFormat="false" ht="15" hidden="false" customHeight="false" outlineLevel="0" collapsed="false">
      <c r="A1559" s="6" t="str">
        <f aca="false">IF('DATA UNIT'!$B79="","",'DATA UNIT'!$B79)</f>
        <v>KT 8170 ZA</v>
      </c>
      <c r="B1559" s="6" t="str">
        <f aca="false">IF($A1559="","",INDEX(PlanningItemsList,18))</f>
        <v>Flushing Steering</v>
      </c>
      <c r="C1559" s="7"/>
      <c r="D1559" s="7"/>
    </row>
    <row r="1560" customFormat="false" ht="15" hidden="false" customHeight="false" outlineLevel="0" collapsed="false">
      <c r="A1560" s="6" t="str">
        <f aca="false">IF('DATA UNIT'!$B79="","",'DATA UNIT'!$B79)</f>
        <v>KT 8170 ZA</v>
      </c>
      <c r="B1560" s="6" t="str">
        <f aca="false">IF($A1560="","",INDEX(PlanningItemsList,19))</f>
        <v>Flushing Injector</v>
      </c>
      <c r="C1560" s="7"/>
      <c r="D1560" s="7"/>
    </row>
    <row r="1561" customFormat="false" ht="15" hidden="false" customHeight="false" outlineLevel="0" collapsed="false">
      <c r="A1561" s="6" t="str">
        <f aca="false">IF('DATA UNIT'!$B79="","",'DATA UNIT'!$B79)</f>
        <v>KT 8170 ZA</v>
      </c>
      <c r="B1561" s="6" t="str">
        <f aca="false">IF($A1561="","",INDEX(PlanningItemsList,20))</f>
        <v>Flushing Rem</v>
      </c>
      <c r="C1561" s="7"/>
      <c r="D1561" s="7"/>
    </row>
    <row r="1562" customFormat="false" ht="15" hidden="false" customHeight="false" outlineLevel="0" collapsed="false">
      <c r="A1562" s="6" t="str">
        <f aca="false">IF('DATA UNIT'!$B80="","",'DATA UNIT'!$B80)</f>
        <v>KT 8172 ZA</v>
      </c>
      <c r="B1562" s="6" t="str">
        <f aca="false">IF($A1562="","",INDEX(PlanningItemsList,1))</f>
        <v>PM Check / Reguler Services</v>
      </c>
      <c r="C1562" s="7"/>
      <c r="D1562" s="7"/>
    </row>
    <row r="1563" customFormat="false" ht="15" hidden="false" customHeight="false" outlineLevel="0" collapsed="false">
      <c r="A1563" s="6" t="str">
        <f aca="false">IF('DATA UNIT'!$B80="","",'DATA UNIT'!$B80)</f>
        <v>KT 8172 ZA</v>
      </c>
      <c r="B1563" s="6" t="str">
        <f aca="false">IF($A1563="","",INDEX(PlanningItemsList,2))</f>
        <v>Service A</v>
      </c>
      <c r="C1563" s="7"/>
      <c r="D1563" s="7"/>
    </row>
    <row r="1564" customFormat="false" ht="15" hidden="false" customHeight="false" outlineLevel="0" collapsed="false">
      <c r="A1564" s="6" t="str">
        <f aca="false">IF('DATA UNIT'!$B80="","",'DATA UNIT'!$B80)</f>
        <v>KT 8172 ZA</v>
      </c>
      <c r="B1564" s="6" t="str">
        <f aca="false">IF($A1564="","",INDEX(PlanningItemsList,3))</f>
        <v>Service B</v>
      </c>
      <c r="C1564" s="7"/>
      <c r="D1564" s="7"/>
    </row>
    <row r="1565" customFormat="false" ht="15" hidden="false" customHeight="false" outlineLevel="0" collapsed="false">
      <c r="A1565" s="6" t="str">
        <f aca="false">IF('DATA UNIT'!$B80="","",'DATA UNIT'!$B80)</f>
        <v>KT 8172 ZA</v>
      </c>
      <c r="B1565" s="6" t="str">
        <f aca="false">IF($A1565="","",INDEX(PlanningItemsList,4))</f>
        <v>Brake Pad</v>
      </c>
      <c r="C1565" s="7"/>
      <c r="D1565" s="7"/>
    </row>
    <row r="1566" customFormat="false" ht="15" hidden="false" customHeight="false" outlineLevel="0" collapsed="false">
      <c r="A1566" s="6" t="str">
        <f aca="false">IF('DATA UNIT'!$B80="","",'DATA UNIT'!$B80)</f>
        <v>KT 8172 ZA</v>
      </c>
      <c r="B1566" s="6" t="str">
        <f aca="false">IF($A1566="","",INDEX(PlanningItemsList,5))</f>
        <v>Brake Shoe</v>
      </c>
      <c r="C1566" s="7"/>
      <c r="D1566" s="7"/>
    </row>
    <row r="1567" customFormat="false" ht="15" hidden="false" customHeight="false" outlineLevel="0" collapsed="false">
      <c r="A1567" s="6" t="str">
        <f aca="false">IF('DATA UNIT'!$B80="","",'DATA UNIT'!$B80)</f>
        <v>KT 8172 ZA</v>
      </c>
      <c r="B1567" s="6" t="str">
        <f aca="false">IF($A1567="","",INDEX(PlanningItemsList,6))</f>
        <v>Accu</v>
      </c>
      <c r="C1567" s="7"/>
      <c r="D1567" s="7"/>
    </row>
    <row r="1568" customFormat="false" ht="15" hidden="false" customHeight="false" outlineLevel="0" collapsed="false">
      <c r="A1568" s="6" t="str">
        <f aca="false">IF('DATA UNIT'!$B80="","",'DATA UNIT'!$B80)</f>
        <v>KT 8172 ZA</v>
      </c>
      <c r="B1568" s="6" t="str">
        <f aca="false">IF($A1568="","",INDEX(PlanningItemsList,7))</f>
        <v>Kampas Kopling Set</v>
      </c>
      <c r="C1568" s="7"/>
      <c r="D1568" s="7"/>
    </row>
    <row r="1569" customFormat="false" ht="15" hidden="false" customHeight="false" outlineLevel="0" collapsed="false">
      <c r="A1569" s="6" t="str">
        <f aca="false">IF('DATA UNIT'!$B80="","",'DATA UNIT'!$B80)</f>
        <v>KT 8172 ZA</v>
      </c>
      <c r="B1569" s="6" t="str">
        <f aca="false">IF($A1569="","",INDEX(PlanningItemsList,8))</f>
        <v>Wiper Blade</v>
      </c>
      <c r="C1569" s="7"/>
      <c r="D1569" s="7"/>
    </row>
    <row r="1570" customFormat="false" ht="15" hidden="false" customHeight="false" outlineLevel="0" collapsed="false">
      <c r="A1570" s="6" t="str">
        <f aca="false">IF('DATA UNIT'!$B80="","",'DATA UNIT'!$B80)</f>
        <v>KT 8172 ZA</v>
      </c>
      <c r="B1570" s="6" t="str">
        <f aca="false">IF($A1570="","",INDEX(PlanningItemsList,9))</f>
        <v>Ban Depan</v>
      </c>
      <c r="C1570" s="7"/>
      <c r="D1570" s="7"/>
    </row>
    <row r="1571" customFormat="false" ht="15" hidden="false" customHeight="false" outlineLevel="0" collapsed="false">
      <c r="A1571" s="6" t="str">
        <f aca="false">IF('DATA UNIT'!$B80="","",'DATA UNIT'!$B80)</f>
        <v>KT 8172 ZA</v>
      </c>
      <c r="B1571" s="6" t="str">
        <f aca="false">IF($A1571="","",INDEX(PlanningItemsList,10))</f>
        <v>Ban Belakang</v>
      </c>
      <c r="C1571" s="7"/>
      <c r="D1571" s="7"/>
    </row>
    <row r="1572" customFormat="false" ht="15" hidden="false" customHeight="false" outlineLevel="0" collapsed="false">
      <c r="A1572" s="6" t="str">
        <f aca="false">IF('DATA UNIT'!$B80="","",'DATA UNIT'!$B80)</f>
        <v>KT 8172 ZA</v>
      </c>
      <c r="B1572" s="6" t="str">
        <f aca="false">IF($A1572="","",INDEX(PlanningItemsList,11))</f>
        <v>Ban Serep</v>
      </c>
      <c r="C1572" s="7"/>
      <c r="D1572" s="7"/>
    </row>
    <row r="1573" customFormat="false" ht="15" hidden="false" customHeight="false" outlineLevel="0" collapsed="false">
      <c r="A1573" s="6" t="str">
        <f aca="false">IF('DATA UNIT'!$B80="","",'DATA UNIT'!$B80)</f>
        <v>KT 8172 ZA</v>
      </c>
      <c r="B1573" s="6" t="str">
        <f aca="false">IF($A1573="","",INDEX(PlanningItemsList,12))</f>
        <v>Greasing</v>
      </c>
      <c r="C1573" s="7"/>
      <c r="D1573" s="7"/>
    </row>
    <row r="1574" customFormat="false" ht="15" hidden="false" customHeight="false" outlineLevel="0" collapsed="false">
      <c r="A1574" s="6" t="str">
        <f aca="false">IF('DATA UNIT'!$B80="","",'DATA UNIT'!$B80)</f>
        <v>KT 8172 ZA</v>
      </c>
      <c r="B1574" s="6" t="str">
        <f aca="false">IF($A1574="","",INDEX(PlanningItemsList,13))</f>
        <v>V-Belt</v>
      </c>
      <c r="C1574" s="7"/>
      <c r="D1574" s="7"/>
    </row>
    <row r="1575" customFormat="false" ht="15" hidden="false" customHeight="false" outlineLevel="0" collapsed="false">
      <c r="A1575" s="6" t="str">
        <f aca="false">IF('DATA UNIT'!$B80="","",'DATA UNIT'!$B80)</f>
        <v>KT 8172 ZA</v>
      </c>
      <c r="B1575" s="6" t="str">
        <f aca="false">IF($A1575="","",INDEX(PlanningItemsList,14))</f>
        <v>Sarung Jok</v>
      </c>
      <c r="C1575" s="7"/>
      <c r="D1575" s="7"/>
    </row>
    <row r="1576" customFormat="false" ht="15" hidden="false" customHeight="false" outlineLevel="0" collapsed="false">
      <c r="A1576" s="6" t="str">
        <f aca="false">IF('DATA UNIT'!$B80="","",'DATA UNIT'!$B80)</f>
        <v>KT 8172 ZA</v>
      </c>
      <c r="B1576" s="6" t="str">
        <f aca="false">IF($A1576="","",INDEX(PlanningItemsList,15))</f>
        <v>Karpet Karet</v>
      </c>
      <c r="C1576" s="7"/>
      <c r="D1576" s="7"/>
    </row>
    <row r="1577" customFormat="false" ht="15" hidden="false" customHeight="false" outlineLevel="0" collapsed="false">
      <c r="A1577" s="6" t="str">
        <f aca="false">IF('DATA UNIT'!$B80="","",'DATA UNIT'!$B80)</f>
        <v>KT 8172 ZA</v>
      </c>
      <c r="B1577" s="6" t="str">
        <f aca="false">IF($A1577="","",INDEX(PlanningItemsList,16))</f>
        <v>Karpet Dasar</v>
      </c>
      <c r="C1577" s="7"/>
      <c r="D1577" s="7"/>
    </row>
    <row r="1578" customFormat="false" ht="15" hidden="false" customHeight="false" outlineLevel="0" collapsed="false">
      <c r="A1578" s="6" t="str">
        <f aca="false">IF('DATA UNIT'!$B80="","",'DATA UNIT'!$B80)</f>
        <v>KT 8172 ZA</v>
      </c>
      <c r="B1578" s="6" t="str">
        <f aca="false">IF($A1578="","",INDEX(PlanningItemsList,17))</f>
        <v>Flushing Radiator</v>
      </c>
      <c r="C1578" s="7"/>
      <c r="D1578" s="7"/>
    </row>
    <row r="1579" customFormat="false" ht="15" hidden="false" customHeight="false" outlineLevel="0" collapsed="false">
      <c r="A1579" s="6" t="str">
        <f aca="false">IF('DATA UNIT'!$B80="","",'DATA UNIT'!$B80)</f>
        <v>KT 8172 ZA</v>
      </c>
      <c r="B1579" s="6" t="str">
        <f aca="false">IF($A1579="","",INDEX(PlanningItemsList,18))</f>
        <v>Flushing Steering</v>
      </c>
      <c r="C1579" s="7"/>
      <c r="D1579" s="7"/>
    </row>
    <row r="1580" customFormat="false" ht="15" hidden="false" customHeight="false" outlineLevel="0" collapsed="false">
      <c r="A1580" s="6" t="str">
        <f aca="false">IF('DATA UNIT'!$B80="","",'DATA UNIT'!$B80)</f>
        <v>KT 8172 ZA</v>
      </c>
      <c r="B1580" s="6" t="str">
        <f aca="false">IF($A1580="","",INDEX(PlanningItemsList,19))</f>
        <v>Flushing Injector</v>
      </c>
      <c r="C1580" s="7"/>
      <c r="D1580" s="7"/>
    </row>
    <row r="1581" customFormat="false" ht="15" hidden="false" customHeight="false" outlineLevel="0" collapsed="false">
      <c r="A1581" s="6" t="str">
        <f aca="false">IF('DATA UNIT'!$B80="","",'DATA UNIT'!$B80)</f>
        <v>KT 8172 ZA</v>
      </c>
      <c r="B1581" s="6" t="str">
        <f aca="false">IF($A1581="","",INDEX(PlanningItemsList,20))</f>
        <v>Flushing Rem</v>
      </c>
      <c r="C1581" s="7"/>
      <c r="D1581" s="7"/>
    </row>
    <row r="1582" customFormat="false" ht="15" hidden="false" customHeight="false" outlineLevel="0" collapsed="false">
      <c r="A1582" s="6" t="str">
        <f aca="false">IF('DATA UNIT'!$B81="","",'DATA UNIT'!$B81)</f>
        <v>KT 8477 YZ</v>
      </c>
      <c r="B1582" s="6" t="str">
        <f aca="false">IF($A1582="","",INDEX(PlanningItemsList,1))</f>
        <v>PM Check / Reguler Services</v>
      </c>
      <c r="C1582" s="7"/>
      <c r="D1582" s="7"/>
    </row>
    <row r="1583" customFormat="false" ht="15" hidden="false" customHeight="false" outlineLevel="0" collapsed="false">
      <c r="A1583" s="6" t="str">
        <f aca="false">IF('DATA UNIT'!$B81="","",'DATA UNIT'!$B81)</f>
        <v>KT 8477 YZ</v>
      </c>
      <c r="B1583" s="6" t="str">
        <f aca="false">IF($A1583="","",INDEX(PlanningItemsList,2))</f>
        <v>Service A</v>
      </c>
      <c r="C1583" s="7"/>
      <c r="D1583" s="7"/>
    </row>
    <row r="1584" customFormat="false" ht="15" hidden="false" customHeight="false" outlineLevel="0" collapsed="false">
      <c r="A1584" s="6" t="str">
        <f aca="false">IF('DATA UNIT'!$B81="","",'DATA UNIT'!$B81)</f>
        <v>KT 8477 YZ</v>
      </c>
      <c r="B1584" s="6" t="str">
        <f aca="false">IF($A1584="","",INDEX(PlanningItemsList,3))</f>
        <v>Service B</v>
      </c>
      <c r="C1584" s="7"/>
      <c r="D1584" s="7"/>
    </row>
    <row r="1585" customFormat="false" ht="15" hidden="false" customHeight="false" outlineLevel="0" collapsed="false">
      <c r="A1585" s="6" t="str">
        <f aca="false">IF('DATA UNIT'!$B81="","",'DATA UNIT'!$B81)</f>
        <v>KT 8477 YZ</v>
      </c>
      <c r="B1585" s="6" t="str">
        <f aca="false">IF($A1585="","",INDEX(PlanningItemsList,4))</f>
        <v>Brake Pad</v>
      </c>
      <c r="C1585" s="7"/>
      <c r="D1585" s="7"/>
    </row>
    <row r="1586" customFormat="false" ht="15" hidden="false" customHeight="false" outlineLevel="0" collapsed="false">
      <c r="A1586" s="6" t="str">
        <f aca="false">IF('DATA UNIT'!$B81="","",'DATA UNIT'!$B81)</f>
        <v>KT 8477 YZ</v>
      </c>
      <c r="B1586" s="6" t="str">
        <f aca="false">IF($A1586="","",INDEX(PlanningItemsList,5))</f>
        <v>Brake Shoe</v>
      </c>
      <c r="C1586" s="7"/>
      <c r="D1586" s="7"/>
    </row>
    <row r="1587" customFormat="false" ht="15" hidden="false" customHeight="false" outlineLevel="0" collapsed="false">
      <c r="A1587" s="6" t="str">
        <f aca="false">IF('DATA UNIT'!$B81="","",'DATA UNIT'!$B81)</f>
        <v>KT 8477 YZ</v>
      </c>
      <c r="B1587" s="6" t="str">
        <f aca="false">IF($A1587="","",INDEX(PlanningItemsList,6))</f>
        <v>Accu</v>
      </c>
      <c r="C1587" s="7"/>
      <c r="D1587" s="7"/>
    </row>
    <row r="1588" customFormat="false" ht="15" hidden="false" customHeight="false" outlineLevel="0" collapsed="false">
      <c r="A1588" s="6" t="str">
        <f aca="false">IF('DATA UNIT'!$B81="","",'DATA UNIT'!$B81)</f>
        <v>KT 8477 YZ</v>
      </c>
      <c r="B1588" s="6" t="str">
        <f aca="false">IF($A1588="","",INDEX(PlanningItemsList,7))</f>
        <v>Kampas Kopling Set</v>
      </c>
      <c r="C1588" s="7"/>
      <c r="D1588" s="7"/>
    </row>
    <row r="1589" customFormat="false" ht="15" hidden="false" customHeight="false" outlineLevel="0" collapsed="false">
      <c r="A1589" s="6" t="str">
        <f aca="false">IF('DATA UNIT'!$B81="","",'DATA UNIT'!$B81)</f>
        <v>KT 8477 YZ</v>
      </c>
      <c r="B1589" s="6" t="str">
        <f aca="false">IF($A1589="","",INDEX(PlanningItemsList,8))</f>
        <v>Wiper Blade</v>
      </c>
      <c r="C1589" s="7"/>
      <c r="D1589" s="7"/>
    </row>
    <row r="1590" customFormat="false" ht="15" hidden="false" customHeight="false" outlineLevel="0" collapsed="false">
      <c r="A1590" s="6" t="str">
        <f aca="false">IF('DATA UNIT'!$B81="","",'DATA UNIT'!$B81)</f>
        <v>KT 8477 YZ</v>
      </c>
      <c r="B1590" s="6" t="str">
        <f aca="false">IF($A1590="","",INDEX(PlanningItemsList,9))</f>
        <v>Ban Depan</v>
      </c>
      <c r="C1590" s="7"/>
      <c r="D1590" s="7"/>
    </row>
    <row r="1591" customFormat="false" ht="15" hidden="false" customHeight="false" outlineLevel="0" collapsed="false">
      <c r="A1591" s="6" t="str">
        <f aca="false">IF('DATA UNIT'!$B81="","",'DATA UNIT'!$B81)</f>
        <v>KT 8477 YZ</v>
      </c>
      <c r="B1591" s="6" t="str">
        <f aca="false">IF($A1591="","",INDEX(PlanningItemsList,10))</f>
        <v>Ban Belakang</v>
      </c>
      <c r="C1591" s="7"/>
      <c r="D1591" s="7"/>
    </row>
    <row r="1592" customFormat="false" ht="15" hidden="false" customHeight="false" outlineLevel="0" collapsed="false">
      <c r="A1592" s="6" t="str">
        <f aca="false">IF('DATA UNIT'!$B81="","",'DATA UNIT'!$B81)</f>
        <v>KT 8477 YZ</v>
      </c>
      <c r="B1592" s="6" t="str">
        <f aca="false">IF($A1592="","",INDEX(PlanningItemsList,11))</f>
        <v>Ban Serep</v>
      </c>
      <c r="C1592" s="7"/>
      <c r="D1592" s="7"/>
    </row>
    <row r="1593" customFormat="false" ht="15" hidden="false" customHeight="false" outlineLevel="0" collapsed="false">
      <c r="A1593" s="6" t="str">
        <f aca="false">IF('DATA UNIT'!$B81="","",'DATA UNIT'!$B81)</f>
        <v>KT 8477 YZ</v>
      </c>
      <c r="B1593" s="6" t="str">
        <f aca="false">IF($A1593="","",INDEX(PlanningItemsList,12))</f>
        <v>Greasing</v>
      </c>
      <c r="C1593" s="7"/>
      <c r="D1593" s="7"/>
    </row>
    <row r="1594" customFormat="false" ht="15" hidden="false" customHeight="false" outlineLevel="0" collapsed="false">
      <c r="A1594" s="6" t="str">
        <f aca="false">IF('DATA UNIT'!$B81="","",'DATA UNIT'!$B81)</f>
        <v>KT 8477 YZ</v>
      </c>
      <c r="B1594" s="6" t="str">
        <f aca="false">IF($A1594="","",INDEX(PlanningItemsList,13))</f>
        <v>V-Belt</v>
      </c>
      <c r="C1594" s="7"/>
      <c r="D1594" s="7"/>
    </row>
    <row r="1595" customFormat="false" ht="15" hidden="false" customHeight="false" outlineLevel="0" collapsed="false">
      <c r="A1595" s="6" t="str">
        <f aca="false">IF('DATA UNIT'!$B81="","",'DATA UNIT'!$B81)</f>
        <v>KT 8477 YZ</v>
      </c>
      <c r="B1595" s="6" t="str">
        <f aca="false">IF($A1595="","",INDEX(PlanningItemsList,14))</f>
        <v>Sarung Jok</v>
      </c>
      <c r="C1595" s="7"/>
      <c r="D1595" s="7"/>
    </row>
    <row r="1596" customFormat="false" ht="15" hidden="false" customHeight="false" outlineLevel="0" collapsed="false">
      <c r="A1596" s="6" t="str">
        <f aca="false">IF('DATA UNIT'!$B81="","",'DATA UNIT'!$B81)</f>
        <v>KT 8477 YZ</v>
      </c>
      <c r="B1596" s="6" t="str">
        <f aca="false">IF($A1596="","",INDEX(PlanningItemsList,15))</f>
        <v>Karpet Karet</v>
      </c>
      <c r="C1596" s="7"/>
      <c r="D1596" s="7"/>
    </row>
    <row r="1597" customFormat="false" ht="15" hidden="false" customHeight="false" outlineLevel="0" collapsed="false">
      <c r="A1597" s="6" t="str">
        <f aca="false">IF('DATA UNIT'!$B81="","",'DATA UNIT'!$B81)</f>
        <v>KT 8477 YZ</v>
      </c>
      <c r="B1597" s="6" t="str">
        <f aca="false">IF($A1597="","",INDEX(PlanningItemsList,16))</f>
        <v>Karpet Dasar</v>
      </c>
      <c r="C1597" s="7"/>
      <c r="D1597" s="7"/>
    </row>
    <row r="1598" customFormat="false" ht="15" hidden="false" customHeight="false" outlineLevel="0" collapsed="false">
      <c r="A1598" s="6" t="str">
        <f aca="false">IF('DATA UNIT'!$B81="","",'DATA UNIT'!$B81)</f>
        <v>KT 8477 YZ</v>
      </c>
      <c r="B1598" s="6" t="str">
        <f aca="false">IF($A1598="","",INDEX(PlanningItemsList,17))</f>
        <v>Flushing Radiator</v>
      </c>
      <c r="C1598" s="7"/>
      <c r="D1598" s="7"/>
    </row>
    <row r="1599" customFormat="false" ht="15" hidden="false" customHeight="false" outlineLevel="0" collapsed="false">
      <c r="A1599" s="6" t="str">
        <f aca="false">IF('DATA UNIT'!$B81="","",'DATA UNIT'!$B81)</f>
        <v>KT 8477 YZ</v>
      </c>
      <c r="B1599" s="6" t="str">
        <f aca="false">IF($A1599="","",INDEX(PlanningItemsList,18))</f>
        <v>Flushing Steering</v>
      </c>
      <c r="C1599" s="7"/>
      <c r="D1599" s="7"/>
    </row>
    <row r="1600" customFormat="false" ht="15" hidden="false" customHeight="false" outlineLevel="0" collapsed="false">
      <c r="A1600" s="6" t="str">
        <f aca="false">IF('DATA UNIT'!$B81="","",'DATA UNIT'!$B81)</f>
        <v>KT 8477 YZ</v>
      </c>
      <c r="B1600" s="6" t="str">
        <f aca="false">IF($A1600="","",INDEX(PlanningItemsList,19))</f>
        <v>Flushing Injector</v>
      </c>
      <c r="C1600" s="7"/>
      <c r="D1600" s="7"/>
    </row>
    <row r="1601" customFormat="false" ht="15" hidden="false" customHeight="false" outlineLevel="0" collapsed="false">
      <c r="A1601" s="6" t="str">
        <f aca="false">IF('DATA UNIT'!$B81="","",'DATA UNIT'!$B81)</f>
        <v>KT 8477 YZ</v>
      </c>
      <c r="B1601" s="6" t="str">
        <f aca="false">IF($A1601="","",INDEX(PlanningItemsList,20))</f>
        <v>Flushing Rem</v>
      </c>
      <c r="C1601" s="7"/>
      <c r="D1601" s="7"/>
    </row>
    <row r="1602" customFormat="false" ht="15" hidden="false" customHeight="false" outlineLevel="0" collapsed="false">
      <c r="A1602" s="6" t="str">
        <f aca="false">IF('DATA UNIT'!$B82="","",'DATA UNIT'!$B82)</f>
        <v>KT 8163 ZA</v>
      </c>
      <c r="B1602" s="6" t="str">
        <f aca="false">IF($A1602="","",INDEX(PlanningItemsList,1))</f>
        <v>PM Check / Reguler Services</v>
      </c>
      <c r="C1602" s="7"/>
      <c r="D1602" s="7"/>
    </row>
    <row r="1603" customFormat="false" ht="15" hidden="false" customHeight="false" outlineLevel="0" collapsed="false">
      <c r="A1603" s="6" t="str">
        <f aca="false">IF('DATA UNIT'!$B82="","",'DATA UNIT'!$B82)</f>
        <v>KT 8163 ZA</v>
      </c>
      <c r="B1603" s="6" t="str">
        <f aca="false">IF($A1603="","",INDEX(PlanningItemsList,2))</f>
        <v>Service A</v>
      </c>
      <c r="C1603" s="7"/>
      <c r="D1603" s="7"/>
    </row>
    <row r="1604" customFormat="false" ht="15" hidden="false" customHeight="false" outlineLevel="0" collapsed="false">
      <c r="A1604" s="6" t="str">
        <f aca="false">IF('DATA UNIT'!$B82="","",'DATA UNIT'!$B82)</f>
        <v>KT 8163 ZA</v>
      </c>
      <c r="B1604" s="6" t="str">
        <f aca="false">IF($A1604="","",INDEX(PlanningItemsList,3))</f>
        <v>Service B</v>
      </c>
      <c r="C1604" s="7"/>
      <c r="D1604" s="7"/>
    </row>
    <row r="1605" customFormat="false" ht="15" hidden="false" customHeight="false" outlineLevel="0" collapsed="false">
      <c r="A1605" s="6" t="str">
        <f aca="false">IF('DATA UNIT'!$B82="","",'DATA UNIT'!$B82)</f>
        <v>KT 8163 ZA</v>
      </c>
      <c r="B1605" s="6" t="str">
        <f aca="false">IF($A1605="","",INDEX(PlanningItemsList,4))</f>
        <v>Brake Pad</v>
      </c>
      <c r="C1605" s="7"/>
      <c r="D1605" s="7"/>
    </row>
    <row r="1606" customFormat="false" ht="15" hidden="false" customHeight="false" outlineLevel="0" collapsed="false">
      <c r="A1606" s="6" t="str">
        <f aca="false">IF('DATA UNIT'!$B82="","",'DATA UNIT'!$B82)</f>
        <v>KT 8163 ZA</v>
      </c>
      <c r="B1606" s="6" t="str">
        <f aca="false">IF($A1606="","",INDEX(PlanningItemsList,5))</f>
        <v>Brake Shoe</v>
      </c>
      <c r="C1606" s="7"/>
      <c r="D1606" s="7"/>
    </row>
    <row r="1607" customFormat="false" ht="15" hidden="false" customHeight="false" outlineLevel="0" collapsed="false">
      <c r="A1607" s="6" t="str">
        <f aca="false">IF('DATA UNIT'!$B82="","",'DATA UNIT'!$B82)</f>
        <v>KT 8163 ZA</v>
      </c>
      <c r="B1607" s="6" t="str">
        <f aca="false">IF($A1607="","",INDEX(PlanningItemsList,6))</f>
        <v>Accu</v>
      </c>
      <c r="C1607" s="7"/>
      <c r="D1607" s="7"/>
    </row>
    <row r="1608" customFormat="false" ht="15" hidden="false" customHeight="false" outlineLevel="0" collapsed="false">
      <c r="A1608" s="6" t="str">
        <f aca="false">IF('DATA UNIT'!$B82="","",'DATA UNIT'!$B82)</f>
        <v>KT 8163 ZA</v>
      </c>
      <c r="B1608" s="6" t="str">
        <f aca="false">IF($A1608="","",INDEX(PlanningItemsList,7))</f>
        <v>Kampas Kopling Set</v>
      </c>
      <c r="C1608" s="7"/>
      <c r="D1608" s="7"/>
    </row>
    <row r="1609" customFormat="false" ht="15" hidden="false" customHeight="false" outlineLevel="0" collapsed="false">
      <c r="A1609" s="6" t="str">
        <f aca="false">IF('DATA UNIT'!$B82="","",'DATA UNIT'!$B82)</f>
        <v>KT 8163 ZA</v>
      </c>
      <c r="B1609" s="6" t="str">
        <f aca="false">IF($A1609="","",INDEX(PlanningItemsList,8))</f>
        <v>Wiper Blade</v>
      </c>
      <c r="C1609" s="7"/>
      <c r="D1609" s="7"/>
    </row>
    <row r="1610" customFormat="false" ht="15" hidden="false" customHeight="false" outlineLevel="0" collapsed="false">
      <c r="A1610" s="6" t="str">
        <f aca="false">IF('DATA UNIT'!$B82="","",'DATA UNIT'!$B82)</f>
        <v>KT 8163 ZA</v>
      </c>
      <c r="B1610" s="6" t="str">
        <f aca="false">IF($A1610="","",INDEX(PlanningItemsList,9))</f>
        <v>Ban Depan</v>
      </c>
      <c r="C1610" s="7"/>
      <c r="D1610" s="7"/>
    </row>
    <row r="1611" customFormat="false" ht="15" hidden="false" customHeight="false" outlineLevel="0" collapsed="false">
      <c r="A1611" s="6" t="str">
        <f aca="false">IF('DATA UNIT'!$B82="","",'DATA UNIT'!$B82)</f>
        <v>KT 8163 ZA</v>
      </c>
      <c r="B1611" s="6" t="str">
        <f aca="false">IF($A1611="","",INDEX(PlanningItemsList,10))</f>
        <v>Ban Belakang</v>
      </c>
      <c r="C1611" s="7"/>
      <c r="D1611" s="7"/>
    </row>
    <row r="1612" customFormat="false" ht="15" hidden="false" customHeight="false" outlineLevel="0" collapsed="false">
      <c r="A1612" s="6" t="str">
        <f aca="false">IF('DATA UNIT'!$B82="","",'DATA UNIT'!$B82)</f>
        <v>KT 8163 ZA</v>
      </c>
      <c r="B1612" s="6" t="str">
        <f aca="false">IF($A1612="","",INDEX(PlanningItemsList,11))</f>
        <v>Ban Serep</v>
      </c>
      <c r="C1612" s="7"/>
      <c r="D1612" s="7"/>
    </row>
    <row r="1613" customFormat="false" ht="15" hidden="false" customHeight="false" outlineLevel="0" collapsed="false">
      <c r="A1613" s="6" t="str">
        <f aca="false">IF('DATA UNIT'!$B82="","",'DATA UNIT'!$B82)</f>
        <v>KT 8163 ZA</v>
      </c>
      <c r="B1613" s="6" t="str">
        <f aca="false">IF($A1613="","",INDEX(PlanningItemsList,12))</f>
        <v>Greasing</v>
      </c>
      <c r="C1613" s="7"/>
      <c r="D1613" s="7"/>
    </row>
    <row r="1614" customFormat="false" ht="15" hidden="false" customHeight="false" outlineLevel="0" collapsed="false">
      <c r="A1614" s="6" t="str">
        <f aca="false">IF('DATA UNIT'!$B82="","",'DATA UNIT'!$B82)</f>
        <v>KT 8163 ZA</v>
      </c>
      <c r="B1614" s="6" t="str">
        <f aca="false">IF($A1614="","",INDEX(PlanningItemsList,13))</f>
        <v>V-Belt</v>
      </c>
      <c r="C1614" s="7"/>
      <c r="D1614" s="7"/>
    </row>
    <row r="1615" customFormat="false" ht="15" hidden="false" customHeight="false" outlineLevel="0" collapsed="false">
      <c r="A1615" s="6" t="str">
        <f aca="false">IF('DATA UNIT'!$B82="","",'DATA UNIT'!$B82)</f>
        <v>KT 8163 ZA</v>
      </c>
      <c r="B1615" s="6" t="str">
        <f aca="false">IF($A1615="","",INDEX(PlanningItemsList,14))</f>
        <v>Sarung Jok</v>
      </c>
      <c r="C1615" s="7"/>
      <c r="D1615" s="7"/>
    </row>
    <row r="1616" customFormat="false" ht="15" hidden="false" customHeight="false" outlineLevel="0" collapsed="false">
      <c r="A1616" s="6" t="str">
        <f aca="false">IF('DATA UNIT'!$B82="","",'DATA UNIT'!$B82)</f>
        <v>KT 8163 ZA</v>
      </c>
      <c r="B1616" s="6" t="str">
        <f aca="false">IF($A1616="","",INDEX(PlanningItemsList,15))</f>
        <v>Karpet Karet</v>
      </c>
      <c r="C1616" s="7"/>
      <c r="D1616" s="7"/>
    </row>
    <row r="1617" customFormat="false" ht="15" hidden="false" customHeight="false" outlineLevel="0" collapsed="false">
      <c r="A1617" s="6" t="str">
        <f aca="false">IF('DATA UNIT'!$B82="","",'DATA UNIT'!$B82)</f>
        <v>KT 8163 ZA</v>
      </c>
      <c r="B1617" s="6" t="str">
        <f aca="false">IF($A1617="","",INDEX(PlanningItemsList,16))</f>
        <v>Karpet Dasar</v>
      </c>
      <c r="C1617" s="7"/>
      <c r="D1617" s="7"/>
    </row>
    <row r="1618" customFormat="false" ht="15" hidden="false" customHeight="false" outlineLevel="0" collapsed="false">
      <c r="A1618" s="6" t="str">
        <f aca="false">IF('DATA UNIT'!$B82="","",'DATA UNIT'!$B82)</f>
        <v>KT 8163 ZA</v>
      </c>
      <c r="B1618" s="6" t="str">
        <f aca="false">IF($A1618="","",INDEX(PlanningItemsList,17))</f>
        <v>Flushing Radiator</v>
      </c>
      <c r="C1618" s="7"/>
      <c r="D1618" s="7"/>
    </row>
    <row r="1619" customFormat="false" ht="15" hidden="false" customHeight="false" outlineLevel="0" collapsed="false">
      <c r="A1619" s="6" t="str">
        <f aca="false">IF('DATA UNIT'!$B82="","",'DATA UNIT'!$B82)</f>
        <v>KT 8163 ZA</v>
      </c>
      <c r="B1619" s="6" t="str">
        <f aca="false">IF($A1619="","",INDEX(PlanningItemsList,18))</f>
        <v>Flushing Steering</v>
      </c>
      <c r="C1619" s="7"/>
      <c r="D1619" s="7"/>
    </row>
    <row r="1620" customFormat="false" ht="15" hidden="false" customHeight="false" outlineLevel="0" collapsed="false">
      <c r="A1620" s="6" t="str">
        <f aca="false">IF('DATA UNIT'!$B82="","",'DATA UNIT'!$B82)</f>
        <v>KT 8163 ZA</v>
      </c>
      <c r="B1620" s="6" t="str">
        <f aca="false">IF($A1620="","",INDEX(PlanningItemsList,19))</f>
        <v>Flushing Injector</v>
      </c>
      <c r="C1620" s="7"/>
      <c r="D1620" s="7"/>
    </row>
    <row r="1621" customFormat="false" ht="15" hidden="false" customHeight="false" outlineLevel="0" collapsed="false">
      <c r="A1621" s="6" t="str">
        <f aca="false">IF('DATA UNIT'!$B82="","",'DATA UNIT'!$B82)</f>
        <v>KT 8163 ZA</v>
      </c>
      <c r="B1621" s="6" t="str">
        <f aca="false">IF($A1621="","",INDEX(PlanningItemsList,20))</f>
        <v>Flushing Rem</v>
      </c>
      <c r="C1621" s="7"/>
      <c r="D1621" s="7"/>
    </row>
    <row r="1622" customFormat="false" ht="15" hidden="false" customHeight="false" outlineLevel="0" collapsed="false">
      <c r="A1622" s="6" t="str">
        <f aca="false">IF('DATA UNIT'!$B83="","",'DATA UNIT'!$B83)</f>
        <v>KT 8173 ZA</v>
      </c>
      <c r="B1622" s="6" t="str">
        <f aca="false">IF($A1622="","",INDEX(PlanningItemsList,1))</f>
        <v>PM Check / Reguler Services</v>
      </c>
      <c r="C1622" s="7"/>
      <c r="D1622" s="7"/>
    </row>
    <row r="1623" customFormat="false" ht="15" hidden="false" customHeight="false" outlineLevel="0" collapsed="false">
      <c r="A1623" s="6" t="str">
        <f aca="false">IF('DATA UNIT'!$B83="","",'DATA UNIT'!$B83)</f>
        <v>KT 8173 ZA</v>
      </c>
      <c r="B1623" s="6" t="str">
        <f aca="false">IF($A1623="","",INDEX(PlanningItemsList,2))</f>
        <v>Service A</v>
      </c>
      <c r="C1623" s="7"/>
      <c r="D1623" s="7"/>
    </row>
    <row r="1624" customFormat="false" ht="15" hidden="false" customHeight="false" outlineLevel="0" collapsed="false">
      <c r="A1624" s="6" t="str">
        <f aca="false">IF('DATA UNIT'!$B83="","",'DATA UNIT'!$B83)</f>
        <v>KT 8173 ZA</v>
      </c>
      <c r="B1624" s="6" t="str">
        <f aca="false">IF($A1624="","",INDEX(PlanningItemsList,3))</f>
        <v>Service B</v>
      </c>
      <c r="C1624" s="7"/>
      <c r="D1624" s="7"/>
    </row>
    <row r="1625" customFormat="false" ht="15" hidden="false" customHeight="false" outlineLevel="0" collapsed="false">
      <c r="A1625" s="6" t="str">
        <f aca="false">IF('DATA UNIT'!$B83="","",'DATA UNIT'!$B83)</f>
        <v>KT 8173 ZA</v>
      </c>
      <c r="B1625" s="6" t="str">
        <f aca="false">IF($A1625="","",INDEX(PlanningItemsList,4))</f>
        <v>Brake Pad</v>
      </c>
      <c r="C1625" s="7"/>
      <c r="D1625" s="7"/>
    </row>
    <row r="1626" customFormat="false" ht="15" hidden="false" customHeight="false" outlineLevel="0" collapsed="false">
      <c r="A1626" s="6" t="str">
        <f aca="false">IF('DATA UNIT'!$B83="","",'DATA UNIT'!$B83)</f>
        <v>KT 8173 ZA</v>
      </c>
      <c r="B1626" s="6" t="str">
        <f aca="false">IF($A1626="","",INDEX(PlanningItemsList,5))</f>
        <v>Brake Shoe</v>
      </c>
      <c r="C1626" s="7"/>
      <c r="D1626" s="7"/>
    </row>
    <row r="1627" customFormat="false" ht="15" hidden="false" customHeight="false" outlineLevel="0" collapsed="false">
      <c r="A1627" s="6" t="str">
        <f aca="false">IF('DATA UNIT'!$B83="","",'DATA UNIT'!$B83)</f>
        <v>KT 8173 ZA</v>
      </c>
      <c r="B1627" s="6" t="str">
        <f aca="false">IF($A1627="","",INDEX(PlanningItemsList,6))</f>
        <v>Accu</v>
      </c>
      <c r="C1627" s="7"/>
      <c r="D1627" s="7"/>
    </row>
    <row r="1628" customFormat="false" ht="15" hidden="false" customHeight="false" outlineLevel="0" collapsed="false">
      <c r="A1628" s="6" t="str">
        <f aca="false">IF('DATA UNIT'!$B83="","",'DATA UNIT'!$B83)</f>
        <v>KT 8173 ZA</v>
      </c>
      <c r="B1628" s="6" t="str">
        <f aca="false">IF($A1628="","",INDEX(PlanningItemsList,7))</f>
        <v>Kampas Kopling Set</v>
      </c>
      <c r="C1628" s="7"/>
      <c r="D1628" s="7"/>
    </row>
    <row r="1629" customFormat="false" ht="15" hidden="false" customHeight="false" outlineLevel="0" collapsed="false">
      <c r="A1629" s="6" t="str">
        <f aca="false">IF('DATA UNIT'!$B83="","",'DATA UNIT'!$B83)</f>
        <v>KT 8173 ZA</v>
      </c>
      <c r="B1629" s="6" t="str">
        <f aca="false">IF($A1629="","",INDEX(PlanningItemsList,8))</f>
        <v>Wiper Blade</v>
      </c>
      <c r="C1629" s="7"/>
      <c r="D1629" s="7"/>
    </row>
    <row r="1630" customFormat="false" ht="15" hidden="false" customHeight="false" outlineLevel="0" collapsed="false">
      <c r="A1630" s="6" t="str">
        <f aca="false">IF('DATA UNIT'!$B83="","",'DATA UNIT'!$B83)</f>
        <v>KT 8173 ZA</v>
      </c>
      <c r="B1630" s="6" t="str">
        <f aca="false">IF($A1630="","",INDEX(PlanningItemsList,9))</f>
        <v>Ban Depan</v>
      </c>
      <c r="C1630" s="7"/>
      <c r="D1630" s="7"/>
    </row>
    <row r="1631" customFormat="false" ht="15" hidden="false" customHeight="false" outlineLevel="0" collapsed="false">
      <c r="A1631" s="6" t="str">
        <f aca="false">IF('DATA UNIT'!$B83="","",'DATA UNIT'!$B83)</f>
        <v>KT 8173 ZA</v>
      </c>
      <c r="B1631" s="6" t="str">
        <f aca="false">IF($A1631="","",INDEX(PlanningItemsList,10))</f>
        <v>Ban Belakang</v>
      </c>
      <c r="C1631" s="7"/>
      <c r="D1631" s="7"/>
    </row>
    <row r="1632" customFormat="false" ht="15" hidden="false" customHeight="false" outlineLevel="0" collapsed="false">
      <c r="A1632" s="6" t="str">
        <f aca="false">IF('DATA UNIT'!$B83="","",'DATA UNIT'!$B83)</f>
        <v>KT 8173 ZA</v>
      </c>
      <c r="B1632" s="6" t="str">
        <f aca="false">IF($A1632="","",INDEX(PlanningItemsList,11))</f>
        <v>Ban Serep</v>
      </c>
      <c r="C1632" s="7"/>
      <c r="D1632" s="7"/>
    </row>
    <row r="1633" customFormat="false" ht="15" hidden="false" customHeight="false" outlineLevel="0" collapsed="false">
      <c r="A1633" s="6" t="str">
        <f aca="false">IF('DATA UNIT'!$B83="","",'DATA UNIT'!$B83)</f>
        <v>KT 8173 ZA</v>
      </c>
      <c r="B1633" s="6" t="str">
        <f aca="false">IF($A1633="","",INDEX(PlanningItemsList,12))</f>
        <v>Greasing</v>
      </c>
      <c r="C1633" s="7"/>
      <c r="D1633" s="7"/>
    </row>
    <row r="1634" customFormat="false" ht="15" hidden="false" customHeight="false" outlineLevel="0" collapsed="false">
      <c r="A1634" s="6" t="str">
        <f aca="false">IF('DATA UNIT'!$B83="","",'DATA UNIT'!$B83)</f>
        <v>KT 8173 ZA</v>
      </c>
      <c r="B1634" s="6" t="str">
        <f aca="false">IF($A1634="","",INDEX(PlanningItemsList,13))</f>
        <v>V-Belt</v>
      </c>
      <c r="C1634" s="7"/>
      <c r="D1634" s="7"/>
    </row>
    <row r="1635" customFormat="false" ht="15" hidden="false" customHeight="false" outlineLevel="0" collapsed="false">
      <c r="A1635" s="6" t="str">
        <f aca="false">IF('DATA UNIT'!$B83="","",'DATA UNIT'!$B83)</f>
        <v>KT 8173 ZA</v>
      </c>
      <c r="B1635" s="6" t="str">
        <f aca="false">IF($A1635="","",INDEX(PlanningItemsList,14))</f>
        <v>Sarung Jok</v>
      </c>
      <c r="C1635" s="7"/>
      <c r="D1635" s="7"/>
    </row>
    <row r="1636" customFormat="false" ht="15" hidden="false" customHeight="false" outlineLevel="0" collapsed="false">
      <c r="A1636" s="6" t="str">
        <f aca="false">IF('DATA UNIT'!$B83="","",'DATA UNIT'!$B83)</f>
        <v>KT 8173 ZA</v>
      </c>
      <c r="B1636" s="6" t="str">
        <f aca="false">IF($A1636="","",INDEX(PlanningItemsList,15))</f>
        <v>Karpet Karet</v>
      </c>
      <c r="C1636" s="7"/>
      <c r="D1636" s="7"/>
    </row>
    <row r="1637" customFormat="false" ht="15" hidden="false" customHeight="false" outlineLevel="0" collapsed="false">
      <c r="A1637" s="6" t="str">
        <f aca="false">IF('DATA UNIT'!$B83="","",'DATA UNIT'!$B83)</f>
        <v>KT 8173 ZA</v>
      </c>
      <c r="B1637" s="6" t="str">
        <f aca="false">IF($A1637="","",INDEX(PlanningItemsList,16))</f>
        <v>Karpet Dasar</v>
      </c>
      <c r="C1637" s="7"/>
      <c r="D1637" s="7"/>
    </row>
    <row r="1638" customFormat="false" ht="15" hidden="false" customHeight="false" outlineLevel="0" collapsed="false">
      <c r="A1638" s="6" t="str">
        <f aca="false">IF('DATA UNIT'!$B83="","",'DATA UNIT'!$B83)</f>
        <v>KT 8173 ZA</v>
      </c>
      <c r="B1638" s="6" t="str">
        <f aca="false">IF($A1638="","",INDEX(PlanningItemsList,17))</f>
        <v>Flushing Radiator</v>
      </c>
      <c r="C1638" s="7"/>
      <c r="D1638" s="7"/>
    </row>
    <row r="1639" customFormat="false" ht="15" hidden="false" customHeight="false" outlineLevel="0" collapsed="false">
      <c r="A1639" s="6" t="str">
        <f aca="false">IF('DATA UNIT'!$B83="","",'DATA UNIT'!$B83)</f>
        <v>KT 8173 ZA</v>
      </c>
      <c r="B1639" s="6" t="str">
        <f aca="false">IF($A1639="","",INDEX(PlanningItemsList,18))</f>
        <v>Flushing Steering</v>
      </c>
      <c r="C1639" s="7"/>
      <c r="D1639" s="7"/>
    </row>
    <row r="1640" customFormat="false" ht="15" hidden="false" customHeight="false" outlineLevel="0" collapsed="false">
      <c r="A1640" s="6" t="str">
        <f aca="false">IF('DATA UNIT'!$B83="","",'DATA UNIT'!$B83)</f>
        <v>KT 8173 ZA</v>
      </c>
      <c r="B1640" s="6" t="str">
        <f aca="false">IF($A1640="","",INDEX(PlanningItemsList,19))</f>
        <v>Flushing Injector</v>
      </c>
      <c r="C1640" s="7"/>
      <c r="D1640" s="7"/>
    </row>
    <row r="1641" customFormat="false" ht="15" hidden="false" customHeight="false" outlineLevel="0" collapsed="false">
      <c r="A1641" s="6" t="str">
        <f aca="false">IF('DATA UNIT'!$B83="","",'DATA UNIT'!$B83)</f>
        <v>KT 8173 ZA</v>
      </c>
      <c r="B1641" s="6" t="str">
        <f aca="false">IF($A1641="","",INDEX(PlanningItemsList,20))</f>
        <v>Flushing Rem</v>
      </c>
      <c r="C1641" s="7"/>
      <c r="D1641" s="7"/>
    </row>
    <row r="1642" customFormat="false" ht="15" hidden="false" customHeight="false" outlineLevel="0" collapsed="false">
      <c r="A1642" s="6" t="str">
        <f aca="false">IF('DATA UNIT'!$B84="","",'DATA UNIT'!$B84)</f>
        <v>KT 8478 YZ</v>
      </c>
      <c r="B1642" s="6" t="str">
        <f aca="false">IF($A1642="","",INDEX(PlanningItemsList,1))</f>
        <v>PM Check / Reguler Services</v>
      </c>
      <c r="C1642" s="7"/>
      <c r="D1642" s="7"/>
    </row>
    <row r="1643" customFormat="false" ht="15" hidden="false" customHeight="false" outlineLevel="0" collapsed="false">
      <c r="A1643" s="6" t="str">
        <f aca="false">IF('DATA UNIT'!$B84="","",'DATA UNIT'!$B84)</f>
        <v>KT 8478 YZ</v>
      </c>
      <c r="B1643" s="6" t="str">
        <f aca="false">IF($A1643="","",INDEX(PlanningItemsList,2))</f>
        <v>Service A</v>
      </c>
      <c r="C1643" s="7"/>
      <c r="D1643" s="7"/>
    </row>
    <row r="1644" customFormat="false" ht="15" hidden="false" customHeight="false" outlineLevel="0" collapsed="false">
      <c r="A1644" s="6" t="str">
        <f aca="false">IF('DATA UNIT'!$B84="","",'DATA UNIT'!$B84)</f>
        <v>KT 8478 YZ</v>
      </c>
      <c r="B1644" s="6" t="str">
        <f aca="false">IF($A1644="","",INDEX(PlanningItemsList,3))</f>
        <v>Service B</v>
      </c>
      <c r="C1644" s="7"/>
      <c r="D1644" s="7"/>
    </row>
    <row r="1645" customFormat="false" ht="15" hidden="false" customHeight="false" outlineLevel="0" collapsed="false">
      <c r="A1645" s="6" t="str">
        <f aca="false">IF('DATA UNIT'!$B84="","",'DATA UNIT'!$B84)</f>
        <v>KT 8478 YZ</v>
      </c>
      <c r="B1645" s="6" t="str">
        <f aca="false">IF($A1645="","",INDEX(PlanningItemsList,4))</f>
        <v>Brake Pad</v>
      </c>
      <c r="C1645" s="7"/>
      <c r="D1645" s="7"/>
    </row>
    <row r="1646" customFormat="false" ht="15" hidden="false" customHeight="false" outlineLevel="0" collapsed="false">
      <c r="A1646" s="6" t="str">
        <f aca="false">IF('DATA UNIT'!$B84="","",'DATA UNIT'!$B84)</f>
        <v>KT 8478 YZ</v>
      </c>
      <c r="B1646" s="6" t="str">
        <f aca="false">IF($A1646="","",INDEX(PlanningItemsList,5))</f>
        <v>Brake Shoe</v>
      </c>
      <c r="C1646" s="7"/>
      <c r="D1646" s="7"/>
    </row>
    <row r="1647" customFormat="false" ht="15" hidden="false" customHeight="false" outlineLevel="0" collapsed="false">
      <c r="A1647" s="6" t="str">
        <f aca="false">IF('DATA UNIT'!$B84="","",'DATA UNIT'!$B84)</f>
        <v>KT 8478 YZ</v>
      </c>
      <c r="B1647" s="6" t="str">
        <f aca="false">IF($A1647="","",INDEX(PlanningItemsList,6))</f>
        <v>Accu</v>
      </c>
      <c r="C1647" s="7"/>
      <c r="D1647" s="7"/>
    </row>
    <row r="1648" customFormat="false" ht="15" hidden="false" customHeight="false" outlineLevel="0" collapsed="false">
      <c r="A1648" s="6" t="str">
        <f aca="false">IF('DATA UNIT'!$B84="","",'DATA UNIT'!$B84)</f>
        <v>KT 8478 YZ</v>
      </c>
      <c r="B1648" s="6" t="str">
        <f aca="false">IF($A1648="","",INDEX(PlanningItemsList,7))</f>
        <v>Kampas Kopling Set</v>
      </c>
      <c r="C1648" s="7"/>
      <c r="D1648" s="7"/>
    </row>
    <row r="1649" customFormat="false" ht="15" hidden="false" customHeight="false" outlineLevel="0" collapsed="false">
      <c r="A1649" s="6" t="str">
        <f aca="false">IF('DATA UNIT'!$B84="","",'DATA UNIT'!$B84)</f>
        <v>KT 8478 YZ</v>
      </c>
      <c r="B1649" s="6" t="str">
        <f aca="false">IF($A1649="","",INDEX(PlanningItemsList,8))</f>
        <v>Wiper Blade</v>
      </c>
      <c r="C1649" s="7"/>
      <c r="D1649" s="7"/>
    </row>
    <row r="1650" customFormat="false" ht="15" hidden="false" customHeight="false" outlineLevel="0" collapsed="false">
      <c r="A1650" s="6" t="str">
        <f aca="false">IF('DATA UNIT'!$B84="","",'DATA UNIT'!$B84)</f>
        <v>KT 8478 YZ</v>
      </c>
      <c r="B1650" s="6" t="str">
        <f aca="false">IF($A1650="","",INDEX(PlanningItemsList,9))</f>
        <v>Ban Depan</v>
      </c>
      <c r="C1650" s="7"/>
      <c r="D1650" s="7"/>
    </row>
    <row r="1651" customFormat="false" ht="15" hidden="false" customHeight="false" outlineLevel="0" collapsed="false">
      <c r="A1651" s="6" t="str">
        <f aca="false">IF('DATA UNIT'!$B84="","",'DATA UNIT'!$B84)</f>
        <v>KT 8478 YZ</v>
      </c>
      <c r="B1651" s="6" t="str">
        <f aca="false">IF($A1651="","",INDEX(PlanningItemsList,10))</f>
        <v>Ban Belakang</v>
      </c>
      <c r="C1651" s="7"/>
      <c r="D1651" s="7"/>
    </row>
    <row r="1652" customFormat="false" ht="15" hidden="false" customHeight="false" outlineLevel="0" collapsed="false">
      <c r="A1652" s="6" t="str">
        <f aca="false">IF('DATA UNIT'!$B84="","",'DATA UNIT'!$B84)</f>
        <v>KT 8478 YZ</v>
      </c>
      <c r="B1652" s="6" t="str">
        <f aca="false">IF($A1652="","",INDEX(PlanningItemsList,11))</f>
        <v>Ban Serep</v>
      </c>
      <c r="C1652" s="7"/>
      <c r="D1652" s="7"/>
    </row>
    <row r="1653" customFormat="false" ht="15" hidden="false" customHeight="false" outlineLevel="0" collapsed="false">
      <c r="A1653" s="6" t="str">
        <f aca="false">IF('DATA UNIT'!$B84="","",'DATA UNIT'!$B84)</f>
        <v>KT 8478 YZ</v>
      </c>
      <c r="B1653" s="6" t="str">
        <f aca="false">IF($A1653="","",INDEX(PlanningItemsList,12))</f>
        <v>Greasing</v>
      </c>
      <c r="C1653" s="7"/>
      <c r="D1653" s="7"/>
    </row>
    <row r="1654" customFormat="false" ht="15" hidden="false" customHeight="false" outlineLevel="0" collapsed="false">
      <c r="A1654" s="6" t="str">
        <f aca="false">IF('DATA UNIT'!$B84="","",'DATA UNIT'!$B84)</f>
        <v>KT 8478 YZ</v>
      </c>
      <c r="B1654" s="6" t="str">
        <f aca="false">IF($A1654="","",INDEX(PlanningItemsList,13))</f>
        <v>V-Belt</v>
      </c>
      <c r="C1654" s="7"/>
      <c r="D1654" s="7"/>
    </row>
    <row r="1655" customFormat="false" ht="15" hidden="false" customHeight="false" outlineLevel="0" collapsed="false">
      <c r="A1655" s="6" t="str">
        <f aca="false">IF('DATA UNIT'!$B84="","",'DATA UNIT'!$B84)</f>
        <v>KT 8478 YZ</v>
      </c>
      <c r="B1655" s="6" t="str">
        <f aca="false">IF($A1655="","",INDEX(PlanningItemsList,14))</f>
        <v>Sarung Jok</v>
      </c>
      <c r="C1655" s="7"/>
      <c r="D1655" s="7"/>
    </row>
    <row r="1656" customFormat="false" ht="15" hidden="false" customHeight="false" outlineLevel="0" collapsed="false">
      <c r="A1656" s="6" t="str">
        <f aca="false">IF('DATA UNIT'!$B84="","",'DATA UNIT'!$B84)</f>
        <v>KT 8478 YZ</v>
      </c>
      <c r="B1656" s="6" t="str">
        <f aca="false">IF($A1656="","",INDEX(PlanningItemsList,15))</f>
        <v>Karpet Karet</v>
      </c>
      <c r="C1656" s="7"/>
      <c r="D1656" s="7"/>
    </row>
    <row r="1657" customFormat="false" ht="15" hidden="false" customHeight="false" outlineLevel="0" collapsed="false">
      <c r="A1657" s="6" t="str">
        <f aca="false">IF('DATA UNIT'!$B84="","",'DATA UNIT'!$B84)</f>
        <v>KT 8478 YZ</v>
      </c>
      <c r="B1657" s="6" t="str">
        <f aca="false">IF($A1657="","",INDEX(PlanningItemsList,16))</f>
        <v>Karpet Dasar</v>
      </c>
      <c r="C1657" s="7"/>
      <c r="D1657" s="7"/>
    </row>
    <row r="1658" customFormat="false" ht="15" hidden="false" customHeight="false" outlineLevel="0" collapsed="false">
      <c r="A1658" s="6" t="str">
        <f aca="false">IF('DATA UNIT'!$B84="","",'DATA UNIT'!$B84)</f>
        <v>KT 8478 YZ</v>
      </c>
      <c r="B1658" s="6" t="str">
        <f aca="false">IF($A1658="","",INDEX(PlanningItemsList,17))</f>
        <v>Flushing Radiator</v>
      </c>
      <c r="C1658" s="7"/>
      <c r="D1658" s="7"/>
    </row>
    <row r="1659" customFormat="false" ht="15" hidden="false" customHeight="false" outlineLevel="0" collapsed="false">
      <c r="A1659" s="6" t="str">
        <f aca="false">IF('DATA UNIT'!$B84="","",'DATA UNIT'!$B84)</f>
        <v>KT 8478 YZ</v>
      </c>
      <c r="B1659" s="6" t="str">
        <f aca="false">IF($A1659="","",INDEX(PlanningItemsList,18))</f>
        <v>Flushing Steering</v>
      </c>
      <c r="C1659" s="7"/>
      <c r="D1659" s="7"/>
    </row>
    <row r="1660" customFormat="false" ht="15" hidden="false" customHeight="false" outlineLevel="0" collapsed="false">
      <c r="A1660" s="6" t="str">
        <f aca="false">IF('DATA UNIT'!$B84="","",'DATA UNIT'!$B84)</f>
        <v>KT 8478 YZ</v>
      </c>
      <c r="B1660" s="6" t="str">
        <f aca="false">IF($A1660="","",INDEX(PlanningItemsList,19))</f>
        <v>Flushing Injector</v>
      </c>
      <c r="C1660" s="7"/>
      <c r="D1660" s="7"/>
    </row>
    <row r="1661" customFormat="false" ht="15" hidden="false" customHeight="false" outlineLevel="0" collapsed="false">
      <c r="A1661" s="6" t="str">
        <f aca="false">IF('DATA UNIT'!$B84="","",'DATA UNIT'!$B84)</f>
        <v>KT 8478 YZ</v>
      </c>
      <c r="B1661" s="6" t="str">
        <f aca="false">IF($A1661="","",INDEX(PlanningItemsList,20))</f>
        <v>Flushing Rem</v>
      </c>
      <c r="C1661" s="7"/>
      <c r="D1661" s="7"/>
    </row>
    <row r="1662" customFormat="false" ht="15" hidden="false" customHeight="false" outlineLevel="0" collapsed="false">
      <c r="A1662" s="6" t="str">
        <f aca="false">IF('DATA UNIT'!$B85="","",'DATA UNIT'!$B85)</f>
        <v>KT 8831 YQ</v>
      </c>
      <c r="B1662" s="6" t="str">
        <f aca="false">IF($A1662="","",INDEX(PlanningItemsList,1))</f>
        <v>PM Check / Reguler Services</v>
      </c>
      <c r="C1662" s="7"/>
      <c r="D1662" s="7"/>
    </row>
    <row r="1663" customFormat="false" ht="15" hidden="false" customHeight="false" outlineLevel="0" collapsed="false">
      <c r="A1663" s="6" t="str">
        <f aca="false">IF('DATA UNIT'!$B85="","",'DATA UNIT'!$B85)</f>
        <v>KT 8831 YQ</v>
      </c>
      <c r="B1663" s="6" t="str">
        <f aca="false">IF($A1663="","",INDEX(PlanningItemsList,2))</f>
        <v>Service A</v>
      </c>
      <c r="C1663" s="7"/>
      <c r="D1663" s="7"/>
    </row>
    <row r="1664" customFormat="false" ht="15" hidden="false" customHeight="false" outlineLevel="0" collapsed="false">
      <c r="A1664" s="6" t="str">
        <f aca="false">IF('DATA UNIT'!$B85="","",'DATA UNIT'!$B85)</f>
        <v>KT 8831 YQ</v>
      </c>
      <c r="B1664" s="6" t="str">
        <f aca="false">IF($A1664="","",INDEX(PlanningItemsList,3))</f>
        <v>Service B</v>
      </c>
      <c r="C1664" s="7"/>
      <c r="D1664" s="7"/>
    </row>
    <row r="1665" customFormat="false" ht="15" hidden="false" customHeight="false" outlineLevel="0" collapsed="false">
      <c r="A1665" s="6" t="str">
        <f aca="false">IF('DATA UNIT'!$B85="","",'DATA UNIT'!$B85)</f>
        <v>KT 8831 YQ</v>
      </c>
      <c r="B1665" s="6" t="str">
        <f aca="false">IF($A1665="","",INDEX(PlanningItemsList,4))</f>
        <v>Brake Pad</v>
      </c>
      <c r="C1665" s="7"/>
      <c r="D1665" s="7"/>
    </row>
    <row r="1666" customFormat="false" ht="15" hidden="false" customHeight="false" outlineLevel="0" collapsed="false">
      <c r="A1666" s="6" t="str">
        <f aca="false">IF('DATA UNIT'!$B85="","",'DATA UNIT'!$B85)</f>
        <v>KT 8831 YQ</v>
      </c>
      <c r="B1666" s="6" t="str">
        <f aca="false">IF($A1666="","",INDEX(PlanningItemsList,5))</f>
        <v>Brake Shoe</v>
      </c>
      <c r="C1666" s="7"/>
      <c r="D1666" s="7"/>
    </row>
    <row r="1667" customFormat="false" ht="15" hidden="false" customHeight="false" outlineLevel="0" collapsed="false">
      <c r="A1667" s="6" t="str">
        <f aca="false">IF('DATA UNIT'!$B85="","",'DATA UNIT'!$B85)</f>
        <v>KT 8831 YQ</v>
      </c>
      <c r="B1667" s="6" t="str">
        <f aca="false">IF($A1667="","",INDEX(PlanningItemsList,6))</f>
        <v>Accu</v>
      </c>
      <c r="C1667" s="7"/>
      <c r="D1667" s="7"/>
    </row>
    <row r="1668" customFormat="false" ht="15" hidden="false" customHeight="false" outlineLevel="0" collapsed="false">
      <c r="A1668" s="6" t="str">
        <f aca="false">IF('DATA UNIT'!$B85="","",'DATA UNIT'!$B85)</f>
        <v>KT 8831 YQ</v>
      </c>
      <c r="B1668" s="6" t="str">
        <f aca="false">IF($A1668="","",INDEX(PlanningItemsList,7))</f>
        <v>Kampas Kopling Set</v>
      </c>
      <c r="C1668" s="7"/>
      <c r="D1668" s="7"/>
    </row>
    <row r="1669" customFormat="false" ht="15" hidden="false" customHeight="false" outlineLevel="0" collapsed="false">
      <c r="A1669" s="6" t="str">
        <f aca="false">IF('DATA UNIT'!$B85="","",'DATA UNIT'!$B85)</f>
        <v>KT 8831 YQ</v>
      </c>
      <c r="B1669" s="6" t="str">
        <f aca="false">IF($A1669="","",INDEX(PlanningItemsList,8))</f>
        <v>Wiper Blade</v>
      </c>
      <c r="C1669" s="7"/>
      <c r="D1669" s="7"/>
    </row>
    <row r="1670" customFormat="false" ht="15" hidden="false" customHeight="false" outlineLevel="0" collapsed="false">
      <c r="A1670" s="6" t="str">
        <f aca="false">IF('DATA UNIT'!$B85="","",'DATA UNIT'!$B85)</f>
        <v>KT 8831 YQ</v>
      </c>
      <c r="B1670" s="6" t="str">
        <f aca="false">IF($A1670="","",INDEX(PlanningItemsList,9))</f>
        <v>Ban Depan</v>
      </c>
      <c r="C1670" s="7"/>
      <c r="D1670" s="7"/>
    </row>
    <row r="1671" customFormat="false" ht="15" hidden="false" customHeight="false" outlineLevel="0" collapsed="false">
      <c r="A1671" s="6" t="str">
        <f aca="false">IF('DATA UNIT'!$B85="","",'DATA UNIT'!$B85)</f>
        <v>KT 8831 YQ</v>
      </c>
      <c r="B1671" s="6" t="str">
        <f aca="false">IF($A1671="","",INDEX(PlanningItemsList,10))</f>
        <v>Ban Belakang</v>
      </c>
      <c r="C1671" s="7"/>
      <c r="D1671" s="7"/>
    </row>
    <row r="1672" customFormat="false" ht="15" hidden="false" customHeight="false" outlineLevel="0" collapsed="false">
      <c r="A1672" s="6" t="str">
        <f aca="false">IF('DATA UNIT'!$B85="","",'DATA UNIT'!$B85)</f>
        <v>KT 8831 YQ</v>
      </c>
      <c r="B1672" s="6" t="str">
        <f aca="false">IF($A1672="","",INDEX(PlanningItemsList,11))</f>
        <v>Ban Serep</v>
      </c>
      <c r="C1672" s="7"/>
      <c r="D1672" s="7"/>
    </row>
    <row r="1673" customFormat="false" ht="15" hidden="false" customHeight="false" outlineLevel="0" collapsed="false">
      <c r="A1673" s="6" t="str">
        <f aca="false">IF('DATA UNIT'!$B85="","",'DATA UNIT'!$B85)</f>
        <v>KT 8831 YQ</v>
      </c>
      <c r="B1673" s="6" t="str">
        <f aca="false">IF($A1673="","",INDEX(PlanningItemsList,12))</f>
        <v>Greasing</v>
      </c>
      <c r="C1673" s="7"/>
      <c r="D1673" s="7"/>
    </row>
    <row r="1674" customFormat="false" ht="15" hidden="false" customHeight="false" outlineLevel="0" collapsed="false">
      <c r="A1674" s="6" t="str">
        <f aca="false">IF('DATA UNIT'!$B85="","",'DATA UNIT'!$B85)</f>
        <v>KT 8831 YQ</v>
      </c>
      <c r="B1674" s="6" t="str">
        <f aca="false">IF($A1674="","",INDEX(PlanningItemsList,13))</f>
        <v>V-Belt</v>
      </c>
      <c r="C1674" s="7"/>
      <c r="D1674" s="7"/>
    </row>
    <row r="1675" customFormat="false" ht="15" hidden="false" customHeight="false" outlineLevel="0" collapsed="false">
      <c r="A1675" s="6" t="str">
        <f aca="false">IF('DATA UNIT'!$B85="","",'DATA UNIT'!$B85)</f>
        <v>KT 8831 YQ</v>
      </c>
      <c r="B1675" s="6" t="str">
        <f aca="false">IF($A1675="","",INDEX(PlanningItemsList,14))</f>
        <v>Sarung Jok</v>
      </c>
      <c r="C1675" s="7"/>
      <c r="D1675" s="7"/>
    </row>
    <row r="1676" customFormat="false" ht="15" hidden="false" customHeight="false" outlineLevel="0" collapsed="false">
      <c r="A1676" s="6" t="str">
        <f aca="false">IF('DATA UNIT'!$B85="","",'DATA UNIT'!$B85)</f>
        <v>KT 8831 YQ</v>
      </c>
      <c r="B1676" s="6" t="str">
        <f aca="false">IF($A1676="","",INDEX(PlanningItemsList,15))</f>
        <v>Karpet Karet</v>
      </c>
      <c r="C1676" s="7"/>
      <c r="D1676" s="7"/>
    </row>
    <row r="1677" customFormat="false" ht="15" hidden="false" customHeight="false" outlineLevel="0" collapsed="false">
      <c r="A1677" s="6" t="str">
        <f aca="false">IF('DATA UNIT'!$B85="","",'DATA UNIT'!$B85)</f>
        <v>KT 8831 YQ</v>
      </c>
      <c r="B1677" s="6" t="str">
        <f aca="false">IF($A1677="","",INDEX(PlanningItemsList,16))</f>
        <v>Karpet Dasar</v>
      </c>
      <c r="C1677" s="7"/>
      <c r="D1677" s="7"/>
    </row>
    <row r="1678" customFormat="false" ht="15" hidden="false" customHeight="false" outlineLevel="0" collapsed="false">
      <c r="A1678" s="6" t="str">
        <f aca="false">IF('DATA UNIT'!$B85="","",'DATA UNIT'!$B85)</f>
        <v>KT 8831 YQ</v>
      </c>
      <c r="B1678" s="6" t="str">
        <f aca="false">IF($A1678="","",INDEX(PlanningItemsList,17))</f>
        <v>Flushing Radiator</v>
      </c>
      <c r="C1678" s="7"/>
      <c r="D1678" s="7"/>
    </row>
    <row r="1679" customFormat="false" ht="15" hidden="false" customHeight="false" outlineLevel="0" collapsed="false">
      <c r="A1679" s="6" t="str">
        <f aca="false">IF('DATA UNIT'!$B85="","",'DATA UNIT'!$B85)</f>
        <v>KT 8831 YQ</v>
      </c>
      <c r="B1679" s="6" t="str">
        <f aca="false">IF($A1679="","",INDEX(PlanningItemsList,18))</f>
        <v>Flushing Steering</v>
      </c>
      <c r="C1679" s="7"/>
      <c r="D1679" s="7"/>
    </row>
    <row r="1680" customFormat="false" ht="15" hidden="false" customHeight="false" outlineLevel="0" collapsed="false">
      <c r="A1680" s="6" t="str">
        <f aca="false">IF('DATA UNIT'!$B85="","",'DATA UNIT'!$B85)</f>
        <v>KT 8831 YQ</v>
      </c>
      <c r="B1680" s="6" t="str">
        <f aca="false">IF($A1680="","",INDEX(PlanningItemsList,19))</f>
        <v>Flushing Injector</v>
      </c>
      <c r="C1680" s="7"/>
      <c r="D1680" s="7"/>
    </row>
    <row r="1681" customFormat="false" ht="15" hidden="false" customHeight="false" outlineLevel="0" collapsed="false">
      <c r="A1681" s="6" t="str">
        <f aca="false">IF('DATA UNIT'!$B85="","",'DATA UNIT'!$B85)</f>
        <v>KT 8831 YQ</v>
      </c>
      <c r="B1681" s="6" t="str">
        <f aca="false">IF($A1681="","",INDEX(PlanningItemsList,20))</f>
        <v>Flushing Rem</v>
      </c>
      <c r="C1681" s="7"/>
      <c r="D1681" s="7"/>
    </row>
    <row r="1682" customFormat="false" ht="15" hidden="false" customHeight="false" outlineLevel="0" collapsed="false">
      <c r="A1682" s="6" t="str">
        <f aca="false">IF('DATA UNIT'!$B86="","",'DATA UNIT'!$B86)</f>
        <v>KT 8524 ZJ</v>
      </c>
      <c r="B1682" s="6" t="str">
        <f aca="false">IF($A1682="","",INDEX(PlanningItemsList,1))</f>
        <v>PM Check / Reguler Services</v>
      </c>
      <c r="C1682" s="7"/>
      <c r="D1682" s="7"/>
    </row>
    <row r="1683" customFormat="false" ht="15" hidden="false" customHeight="false" outlineLevel="0" collapsed="false">
      <c r="A1683" s="6" t="str">
        <f aca="false">IF('DATA UNIT'!$B86="","",'DATA UNIT'!$B86)</f>
        <v>KT 8524 ZJ</v>
      </c>
      <c r="B1683" s="6" t="str">
        <f aca="false">IF($A1683="","",INDEX(PlanningItemsList,2))</f>
        <v>Service A</v>
      </c>
      <c r="C1683" s="7"/>
      <c r="D1683" s="7"/>
    </row>
    <row r="1684" customFormat="false" ht="15" hidden="false" customHeight="false" outlineLevel="0" collapsed="false">
      <c r="A1684" s="6" t="str">
        <f aca="false">IF('DATA UNIT'!$B86="","",'DATA UNIT'!$B86)</f>
        <v>KT 8524 ZJ</v>
      </c>
      <c r="B1684" s="6" t="str">
        <f aca="false">IF($A1684="","",INDEX(PlanningItemsList,3))</f>
        <v>Service B</v>
      </c>
      <c r="C1684" s="7"/>
      <c r="D1684" s="7"/>
    </row>
    <row r="1685" customFormat="false" ht="15" hidden="false" customHeight="false" outlineLevel="0" collapsed="false">
      <c r="A1685" s="6" t="str">
        <f aca="false">IF('DATA UNIT'!$B86="","",'DATA UNIT'!$B86)</f>
        <v>KT 8524 ZJ</v>
      </c>
      <c r="B1685" s="6" t="str">
        <f aca="false">IF($A1685="","",INDEX(PlanningItemsList,4))</f>
        <v>Brake Pad</v>
      </c>
      <c r="C1685" s="7"/>
      <c r="D1685" s="7"/>
    </row>
    <row r="1686" customFormat="false" ht="15" hidden="false" customHeight="false" outlineLevel="0" collapsed="false">
      <c r="A1686" s="6" t="str">
        <f aca="false">IF('DATA UNIT'!$B86="","",'DATA UNIT'!$B86)</f>
        <v>KT 8524 ZJ</v>
      </c>
      <c r="B1686" s="6" t="str">
        <f aca="false">IF($A1686="","",INDEX(PlanningItemsList,5))</f>
        <v>Brake Shoe</v>
      </c>
      <c r="C1686" s="7"/>
      <c r="D1686" s="7"/>
    </row>
    <row r="1687" customFormat="false" ht="15" hidden="false" customHeight="false" outlineLevel="0" collapsed="false">
      <c r="A1687" s="6" t="str">
        <f aca="false">IF('DATA UNIT'!$B86="","",'DATA UNIT'!$B86)</f>
        <v>KT 8524 ZJ</v>
      </c>
      <c r="B1687" s="6" t="str">
        <f aca="false">IF($A1687="","",INDEX(PlanningItemsList,6))</f>
        <v>Accu</v>
      </c>
      <c r="C1687" s="7"/>
      <c r="D1687" s="7"/>
    </row>
    <row r="1688" customFormat="false" ht="15" hidden="false" customHeight="false" outlineLevel="0" collapsed="false">
      <c r="A1688" s="6" t="str">
        <f aca="false">IF('DATA UNIT'!$B86="","",'DATA UNIT'!$B86)</f>
        <v>KT 8524 ZJ</v>
      </c>
      <c r="B1688" s="6" t="str">
        <f aca="false">IF($A1688="","",INDEX(PlanningItemsList,7))</f>
        <v>Kampas Kopling Set</v>
      </c>
      <c r="C1688" s="7"/>
      <c r="D1688" s="7"/>
    </row>
    <row r="1689" customFormat="false" ht="15" hidden="false" customHeight="false" outlineLevel="0" collapsed="false">
      <c r="A1689" s="6" t="str">
        <f aca="false">IF('DATA UNIT'!$B86="","",'DATA UNIT'!$B86)</f>
        <v>KT 8524 ZJ</v>
      </c>
      <c r="B1689" s="6" t="str">
        <f aca="false">IF($A1689="","",INDEX(PlanningItemsList,8))</f>
        <v>Wiper Blade</v>
      </c>
      <c r="C1689" s="7"/>
      <c r="D1689" s="7"/>
    </row>
    <row r="1690" customFormat="false" ht="15" hidden="false" customHeight="false" outlineLevel="0" collapsed="false">
      <c r="A1690" s="6" t="str">
        <f aca="false">IF('DATA UNIT'!$B86="","",'DATA UNIT'!$B86)</f>
        <v>KT 8524 ZJ</v>
      </c>
      <c r="B1690" s="6" t="str">
        <f aca="false">IF($A1690="","",INDEX(PlanningItemsList,9))</f>
        <v>Ban Depan</v>
      </c>
      <c r="C1690" s="7"/>
      <c r="D1690" s="7"/>
    </row>
    <row r="1691" customFormat="false" ht="15" hidden="false" customHeight="false" outlineLevel="0" collapsed="false">
      <c r="A1691" s="6" t="str">
        <f aca="false">IF('DATA UNIT'!$B86="","",'DATA UNIT'!$B86)</f>
        <v>KT 8524 ZJ</v>
      </c>
      <c r="B1691" s="6" t="str">
        <f aca="false">IF($A1691="","",INDEX(PlanningItemsList,10))</f>
        <v>Ban Belakang</v>
      </c>
      <c r="C1691" s="7"/>
      <c r="D1691" s="7"/>
    </row>
    <row r="1692" customFormat="false" ht="15" hidden="false" customHeight="false" outlineLevel="0" collapsed="false">
      <c r="A1692" s="6" t="str">
        <f aca="false">IF('DATA UNIT'!$B86="","",'DATA UNIT'!$B86)</f>
        <v>KT 8524 ZJ</v>
      </c>
      <c r="B1692" s="6" t="str">
        <f aca="false">IF($A1692="","",INDEX(PlanningItemsList,11))</f>
        <v>Ban Serep</v>
      </c>
      <c r="C1692" s="7"/>
      <c r="D1692" s="7"/>
    </row>
    <row r="1693" customFormat="false" ht="15" hidden="false" customHeight="false" outlineLevel="0" collapsed="false">
      <c r="A1693" s="6" t="str">
        <f aca="false">IF('DATA UNIT'!$B86="","",'DATA UNIT'!$B86)</f>
        <v>KT 8524 ZJ</v>
      </c>
      <c r="B1693" s="6" t="str">
        <f aca="false">IF($A1693="","",INDEX(PlanningItemsList,12))</f>
        <v>Greasing</v>
      </c>
      <c r="C1693" s="7"/>
      <c r="D1693" s="7"/>
    </row>
    <row r="1694" customFormat="false" ht="15" hidden="false" customHeight="false" outlineLevel="0" collapsed="false">
      <c r="A1694" s="6" t="str">
        <f aca="false">IF('DATA UNIT'!$B86="","",'DATA UNIT'!$B86)</f>
        <v>KT 8524 ZJ</v>
      </c>
      <c r="B1694" s="6" t="str">
        <f aca="false">IF($A1694="","",INDEX(PlanningItemsList,13))</f>
        <v>V-Belt</v>
      </c>
      <c r="C1694" s="7"/>
      <c r="D1694" s="7"/>
    </row>
    <row r="1695" customFormat="false" ht="15" hidden="false" customHeight="false" outlineLevel="0" collapsed="false">
      <c r="A1695" s="6" t="str">
        <f aca="false">IF('DATA UNIT'!$B86="","",'DATA UNIT'!$B86)</f>
        <v>KT 8524 ZJ</v>
      </c>
      <c r="B1695" s="6" t="str">
        <f aca="false">IF($A1695="","",INDEX(PlanningItemsList,14))</f>
        <v>Sarung Jok</v>
      </c>
      <c r="C1695" s="7"/>
      <c r="D1695" s="7"/>
    </row>
    <row r="1696" customFormat="false" ht="15" hidden="false" customHeight="false" outlineLevel="0" collapsed="false">
      <c r="A1696" s="6" t="str">
        <f aca="false">IF('DATA UNIT'!$B86="","",'DATA UNIT'!$B86)</f>
        <v>KT 8524 ZJ</v>
      </c>
      <c r="B1696" s="6" t="str">
        <f aca="false">IF($A1696="","",INDEX(PlanningItemsList,15))</f>
        <v>Karpet Karet</v>
      </c>
      <c r="C1696" s="7"/>
      <c r="D1696" s="7"/>
    </row>
    <row r="1697" customFormat="false" ht="15" hidden="false" customHeight="false" outlineLevel="0" collapsed="false">
      <c r="A1697" s="6" t="str">
        <f aca="false">IF('DATA UNIT'!$B86="","",'DATA UNIT'!$B86)</f>
        <v>KT 8524 ZJ</v>
      </c>
      <c r="B1697" s="6" t="str">
        <f aca="false">IF($A1697="","",INDEX(PlanningItemsList,16))</f>
        <v>Karpet Dasar</v>
      </c>
      <c r="C1697" s="7"/>
      <c r="D1697" s="7"/>
    </row>
    <row r="1698" customFormat="false" ht="15" hidden="false" customHeight="false" outlineLevel="0" collapsed="false">
      <c r="A1698" s="6" t="str">
        <f aca="false">IF('DATA UNIT'!$B86="","",'DATA UNIT'!$B86)</f>
        <v>KT 8524 ZJ</v>
      </c>
      <c r="B1698" s="6" t="str">
        <f aca="false">IF($A1698="","",INDEX(PlanningItemsList,17))</f>
        <v>Flushing Radiator</v>
      </c>
      <c r="C1698" s="7"/>
      <c r="D1698" s="7"/>
    </row>
    <row r="1699" customFormat="false" ht="15" hidden="false" customHeight="false" outlineLevel="0" collapsed="false">
      <c r="A1699" s="6" t="str">
        <f aca="false">IF('DATA UNIT'!$B86="","",'DATA UNIT'!$B86)</f>
        <v>KT 8524 ZJ</v>
      </c>
      <c r="B1699" s="6" t="str">
        <f aca="false">IF($A1699="","",INDEX(PlanningItemsList,18))</f>
        <v>Flushing Steering</v>
      </c>
      <c r="C1699" s="7"/>
      <c r="D1699" s="7"/>
    </row>
    <row r="1700" customFormat="false" ht="15" hidden="false" customHeight="false" outlineLevel="0" collapsed="false">
      <c r="A1700" s="6" t="str">
        <f aca="false">IF('DATA UNIT'!$B86="","",'DATA UNIT'!$B86)</f>
        <v>KT 8524 ZJ</v>
      </c>
      <c r="B1700" s="6" t="str">
        <f aca="false">IF($A1700="","",INDEX(PlanningItemsList,19))</f>
        <v>Flushing Injector</v>
      </c>
      <c r="C1700" s="7"/>
      <c r="D1700" s="7"/>
    </row>
    <row r="1701" customFormat="false" ht="15" hidden="false" customHeight="false" outlineLevel="0" collapsed="false">
      <c r="A1701" s="6" t="str">
        <f aca="false">IF('DATA UNIT'!$B86="","",'DATA UNIT'!$B86)</f>
        <v>KT 8524 ZJ</v>
      </c>
      <c r="B1701" s="6" t="str">
        <f aca="false">IF($A1701="","",INDEX(PlanningItemsList,20))</f>
        <v>Flushing Rem</v>
      </c>
      <c r="C1701" s="7"/>
      <c r="D1701" s="7"/>
    </row>
    <row r="1702" customFormat="false" ht="15" hidden="false" customHeight="false" outlineLevel="0" collapsed="false">
      <c r="A1702" s="6" t="str">
        <f aca="false">IF('DATA UNIT'!$B87="","",'DATA UNIT'!$B87)</f>
        <v>KT 8523 ZJ</v>
      </c>
      <c r="B1702" s="6" t="str">
        <f aca="false">IF($A1702="","",INDEX(PlanningItemsList,1))</f>
        <v>PM Check / Reguler Services</v>
      </c>
      <c r="C1702" s="7"/>
      <c r="D1702" s="7"/>
    </row>
    <row r="1703" customFormat="false" ht="15" hidden="false" customHeight="false" outlineLevel="0" collapsed="false">
      <c r="A1703" s="6" t="str">
        <f aca="false">IF('DATA UNIT'!$B87="","",'DATA UNIT'!$B87)</f>
        <v>KT 8523 ZJ</v>
      </c>
      <c r="B1703" s="6" t="str">
        <f aca="false">IF($A1703="","",INDEX(PlanningItemsList,2))</f>
        <v>Service A</v>
      </c>
      <c r="C1703" s="7"/>
      <c r="D1703" s="7"/>
    </row>
    <row r="1704" customFormat="false" ht="15" hidden="false" customHeight="false" outlineLevel="0" collapsed="false">
      <c r="A1704" s="6" t="str">
        <f aca="false">IF('DATA UNIT'!$B87="","",'DATA UNIT'!$B87)</f>
        <v>KT 8523 ZJ</v>
      </c>
      <c r="B1704" s="6" t="str">
        <f aca="false">IF($A1704="","",INDEX(PlanningItemsList,3))</f>
        <v>Service B</v>
      </c>
      <c r="C1704" s="7"/>
      <c r="D1704" s="7"/>
    </row>
    <row r="1705" customFormat="false" ht="15" hidden="false" customHeight="false" outlineLevel="0" collapsed="false">
      <c r="A1705" s="6" t="str">
        <f aca="false">IF('DATA UNIT'!$B87="","",'DATA UNIT'!$B87)</f>
        <v>KT 8523 ZJ</v>
      </c>
      <c r="B1705" s="6" t="str">
        <f aca="false">IF($A1705="","",INDEX(PlanningItemsList,4))</f>
        <v>Brake Pad</v>
      </c>
      <c r="C1705" s="7"/>
      <c r="D1705" s="7"/>
    </row>
    <row r="1706" customFormat="false" ht="15" hidden="false" customHeight="false" outlineLevel="0" collapsed="false">
      <c r="A1706" s="6" t="str">
        <f aca="false">IF('DATA UNIT'!$B87="","",'DATA UNIT'!$B87)</f>
        <v>KT 8523 ZJ</v>
      </c>
      <c r="B1706" s="6" t="str">
        <f aca="false">IF($A1706="","",INDEX(PlanningItemsList,5))</f>
        <v>Brake Shoe</v>
      </c>
      <c r="C1706" s="7"/>
      <c r="D1706" s="7"/>
    </row>
    <row r="1707" customFormat="false" ht="15" hidden="false" customHeight="false" outlineLevel="0" collapsed="false">
      <c r="A1707" s="6" t="str">
        <f aca="false">IF('DATA UNIT'!$B87="","",'DATA UNIT'!$B87)</f>
        <v>KT 8523 ZJ</v>
      </c>
      <c r="B1707" s="6" t="str">
        <f aca="false">IF($A1707="","",INDEX(PlanningItemsList,6))</f>
        <v>Accu</v>
      </c>
      <c r="C1707" s="7"/>
      <c r="D1707" s="7"/>
    </row>
    <row r="1708" customFormat="false" ht="15" hidden="false" customHeight="false" outlineLevel="0" collapsed="false">
      <c r="A1708" s="6" t="str">
        <f aca="false">IF('DATA UNIT'!$B87="","",'DATA UNIT'!$B87)</f>
        <v>KT 8523 ZJ</v>
      </c>
      <c r="B1708" s="6" t="str">
        <f aca="false">IF($A1708="","",INDEX(PlanningItemsList,7))</f>
        <v>Kampas Kopling Set</v>
      </c>
      <c r="C1708" s="7"/>
      <c r="D1708" s="7"/>
    </row>
    <row r="1709" customFormat="false" ht="15" hidden="false" customHeight="false" outlineLevel="0" collapsed="false">
      <c r="A1709" s="6" t="str">
        <f aca="false">IF('DATA UNIT'!$B87="","",'DATA UNIT'!$B87)</f>
        <v>KT 8523 ZJ</v>
      </c>
      <c r="B1709" s="6" t="str">
        <f aca="false">IF($A1709="","",INDEX(PlanningItemsList,8))</f>
        <v>Wiper Blade</v>
      </c>
      <c r="C1709" s="7"/>
      <c r="D1709" s="7"/>
    </row>
    <row r="1710" customFormat="false" ht="15" hidden="false" customHeight="false" outlineLevel="0" collapsed="false">
      <c r="A1710" s="6" t="str">
        <f aca="false">IF('DATA UNIT'!$B87="","",'DATA UNIT'!$B87)</f>
        <v>KT 8523 ZJ</v>
      </c>
      <c r="B1710" s="6" t="str">
        <f aca="false">IF($A1710="","",INDEX(PlanningItemsList,9))</f>
        <v>Ban Depan</v>
      </c>
      <c r="C1710" s="7"/>
      <c r="D1710" s="7"/>
    </row>
    <row r="1711" customFormat="false" ht="15" hidden="false" customHeight="false" outlineLevel="0" collapsed="false">
      <c r="A1711" s="6" t="str">
        <f aca="false">IF('DATA UNIT'!$B87="","",'DATA UNIT'!$B87)</f>
        <v>KT 8523 ZJ</v>
      </c>
      <c r="B1711" s="6" t="str">
        <f aca="false">IF($A1711="","",INDEX(PlanningItemsList,10))</f>
        <v>Ban Belakang</v>
      </c>
      <c r="C1711" s="7"/>
      <c r="D1711" s="7"/>
    </row>
    <row r="1712" customFormat="false" ht="15" hidden="false" customHeight="false" outlineLevel="0" collapsed="false">
      <c r="A1712" s="6" t="str">
        <f aca="false">IF('DATA UNIT'!$B87="","",'DATA UNIT'!$B87)</f>
        <v>KT 8523 ZJ</v>
      </c>
      <c r="B1712" s="6" t="str">
        <f aca="false">IF($A1712="","",INDEX(PlanningItemsList,11))</f>
        <v>Ban Serep</v>
      </c>
      <c r="C1712" s="7"/>
      <c r="D1712" s="7"/>
    </row>
    <row r="1713" customFormat="false" ht="15" hidden="false" customHeight="false" outlineLevel="0" collapsed="false">
      <c r="A1713" s="6" t="str">
        <f aca="false">IF('DATA UNIT'!$B87="","",'DATA UNIT'!$B87)</f>
        <v>KT 8523 ZJ</v>
      </c>
      <c r="B1713" s="6" t="str">
        <f aca="false">IF($A1713="","",INDEX(PlanningItemsList,12))</f>
        <v>Greasing</v>
      </c>
      <c r="C1713" s="7"/>
      <c r="D1713" s="7"/>
    </row>
    <row r="1714" customFormat="false" ht="15" hidden="false" customHeight="false" outlineLevel="0" collapsed="false">
      <c r="A1714" s="6" t="str">
        <f aca="false">IF('DATA UNIT'!$B87="","",'DATA UNIT'!$B87)</f>
        <v>KT 8523 ZJ</v>
      </c>
      <c r="B1714" s="6" t="str">
        <f aca="false">IF($A1714="","",INDEX(PlanningItemsList,13))</f>
        <v>V-Belt</v>
      </c>
      <c r="C1714" s="7"/>
      <c r="D1714" s="7"/>
    </row>
    <row r="1715" customFormat="false" ht="15" hidden="false" customHeight="false" outlineLevel="0" collapsed="false">
      <c r="A1715" s="6" t="str">
        <f aca="false">IF('DATA UNIT'!$B87="","",'DATA UNIT'!$B87)</f>
        <v>KT 8523 ZJ</v>
      </c>
      <c r="B1715" s="6" t="str">
        <f aca="false">IF($A1715="","",INDEX(PlanningItemsList,14))</f>
        <v>Sarung Jok</v>
      </c>
      <c r="C1715" s="7"/>
      <c r="D1715" s="7"/>
    </row>
    <row r="1716" customFormat="false" ht="15" hidden="false" customHeight="false" outlineLevel="0" collapsed="false">
      <c r="A1716" s="6" t="str">
        <f aca="false">IF('DATA UNIT'!$B87="","",'DATA UNIT'!$B87)</f>
        <v>KT 8523 ZJ</v>
      </c>
      <c r="B1716" s="6" t="str">
        <f aca="false">IF($A1716="","",INDEX(PlanningItemsList,15))</f>
        <v>Karpet Karet</v>
      </c>
      <c r="C1716" s="7"/>
      <c r="D1716" s="7"/>
    </row>
    <row r="1717" customFormat="false" ht="15" hidden="false" customHeight="false" outlineLevel="0" collapsed="false">
      <c r="A1717" s="6" t="str">
        <f aca="false">IF('DATA UNIT'!$B87="","",'DATA UNIT'!$B87)</f>
        <v>KT 8523 ZJ</v>
      </c>
      <c r="B1717" s="6" t="str">
        <f aca="false">IF($A1717="","",INDEX(PlanningItemsList,16))</f>
        <v>Karpet Dasar</v>
      </c>
      <c r="C1717" s="7"/>
      <c r="D1717" s="7"/>
    </row>
    <row r="1718" customFormat="false" ht="15" hidden="false" customHeight="false" outlineLevel="0" collapsed="false">
      <c r="A1718" s="6" t="str">
        <f aca="false">IF('DATA UNIT'!$B87="","",'DATA UNIT'!$B87)</f>
        <v>KT 8523 ZJ</v>
      </c>
      <c r="B1718" s="6" t="str">
        <f aca="false">IF($A1718="","",INDEX(PlanningItemsList,17))</f>
        <v>Flushing Radiator</v>
      </c>
      <c r="C1718" s="7"/>
      <c r="D1718" s="7"/>
    </row>
    <row r="1719" customFormat="false" ht="15" hidden="false" customHeight="false" outlineLevel="0" collapsed="false">
      <c r="A1719" s="6" t="str">
        <f aca="false">IF('DATA UNIT'!$B87="","",'DATA UNIT'!$B87)</f>
        <v>KT 8523 ZJ</v>
      </c>
      <c r="B1719" s="6" t="str">
        <f aca="false">IF($A1719="","",INDEX(PlanningItemsList,18))</f>
        <v>Flushing Steering</v>
      </c>
      <c r="C1719" s="7"/>
      <c r="D1719" s="7"/>
    </row>
    <row r="1720" customFormat="false" ht="15" hidden="false" customHeight="false" outlineLevel="0" collapsed="false">
      <c r="A1720" s="6" t="str">
        <f aca="false">IF('DATA UNIT'!$B87="","",'DATA UNIT'!$B87)</f>
        <v>KT 8523 ZJ</v>
      </c>
      <c r="B1720" s="6" t="str">
        <f aca="false">IF($A1720="","",INDEX(PlanningItemsList,19))</f>
        <v>Flushing Injector</v>
      </c>
      <c r="C1720" s="7"/>
      <c r="D1720" s="7"/>
    </row>
    <row r="1721" customFormat="false" ht="15" hidden="false" customHeight="false" outlineLevel="0" collapsed="false">
      <c r="A1721" s="6" t="str">
        <f aca="false">IF('DATA UNIT'!$B87="","",'DATA UNIT'!$B87)</f>
        <v>KT 8523 ZJ</v>
      </c>
      <c r="B1721" s="6" t="str">
        <f aca="false">IF($A1721="","",INDEX(PlanningItemsList,20))</f>
        <v>Flushing Rem</v>
      </c>
      <c r="C1721" s="7"/>
      <c r="D1721" s="7"/>
    </row>
    <row r="1722" customFormat="false" ht="15" hidden="false" customHeight="false" outlineLevel="0" collapsed="false">
      <c r="A1722" s="6" t="str">
        <f aca="false">IF('DATA UNIT'!$B88="","",'DATA UNIT'!$B88)</f>
        <v>B 2411 UFY</v>
      </c>
      <c r="B1722" s="6" t="str">
        <f aca="false">IF($A1722="","",INDEX(PlanningItemsList,1))</f>
        <v>PM Check / Reguler Services</v>
      </c>
      <c r="C1722" s="7"/>
      <c r="D1722" s="7"/>
    </row>
    <row r="1723" customFormat="false" ht="15" hidden="false" customHeight="false" outlineLevel="0" collapsed="false">
      <c r="A1723" s="6" t="str">
        <f aca="false">IF('DATA UNIT'!$B88="","",'DATA UNIT'!$B88)</f>
        <v>B 2411 UFY</v>
      </c>
      <c r="B1723" s="6" t="str">
        <f aca="false">IF($A1723="","",INDEX(PlanningItemsList,2))</f>
        <v>Service A</v>
      </c>
      <c r="C1723" s="7"/>
      <c r="D1723" s="7"/>
    </row>
    <row r="1724" customFormat="false" ht="15" hidden="false" customHeight="false" outlineLevel="0" collapsed="false">
      <c r="A1724" s="6" t="str">
        <f aca="false">IF('DATA UNIT'!$B88="","",'DATA UNIT'!$B88)</f>
        <v>B 2411 UFY</v>
      </c>
      <c r="B1724" s="6" t="str">
        <f aca="false">IF($A1724="","",INDEX(PlanningItemsList,3))</f>
        <v>Service B</v>
      </c>
      <c r="C1724" s="7"/>
      <c r="D1724" s="7"/>
    </row>
    <row r="1725" customFormat="false" ht="15" hidden="false" customHeight="false" outlineLevel="0" collapsed="false">
      <c r="A1725" s="6" t="str">
        <f aca="false">IF('DATA UNIT'!$B88="","",'DATA UNIT'!$B88)</f>
        <v>B 2411 UFY</v>
      </c>
      <c r="B1725" s="6" t="str">
        <f aca="false">IF($A1725="","",INDEX(PlanningItemsList,4))</f>
        <v>Brake Pad</v>
      </c>
      <c r="C1725" s="7"/>
      <c r="D1725" s="7"/>
    </row>
    <row r="1726" customFormat="false" ht="15" hidden="false" customHeight="false" outlineLevel="0" collapsed="false">
      <c r="A1726" s="6" t="str">
        <f aca="false">IF('DATA UNIT'!$B88="","",'DATA UNIT'!$B88)</f>
        <v>B 2411 UFY</v>
      </c>
      <c r="B1726" s="6" t="str">
        <f aca="false">IF($A1726="","",INDEX(PlanningItemsList,5))</f>
        <v>Brake Shoe</v>
      </c>
      <c r="C1726" s="7"/>
      <c r="D1726" s="7"/>
    </row>
    <row r="1727" customFormat="false" ht="15" hidden="false" customHeight="false" outlineLevel="0" collapsed="false">
      <c r="A1727" s="6" t="str">
        <f aca="false">IF('DATA UNIT'!$B88="","",'DATA UNIT'!$B88)</f>
        <v>B 2411 UFY</v>
      </c>
      <c r="B1727" s="6" t="str">
        <f aca="false">IF($A1727="","",INDEX(PlanningItemsList,6))</f>
        <v>Accu</v>
      </c>
      <c r="C1727" s="7"/>
      <c r="D1727" s="7"/>
    </row>
    <row r="1728" customFormat="false" ht="15" hidden="false" customHeight="false" outlineLevel="0" collapsed="false">
      <c r="A1728" s="6" t="str">
        <f aca="false">IF('DATA UNIT'!$B88="","",'DATA UNIT'!$B88)</f>
        <v>B 2411 UFY</v>
      </c>
      <c r="B1728" s="6" t="str">
        <f aca="false">IF($A1728="","",INDEX(PlanningItemsList,7))</f>
        <v>Kampas Kopling Set</v>
      </c>
      <c r="C1728" s="7"/>
      <c r="D1728" s="7"/>
    </row>
    <row r="1729" customFormat="false" ht="15" hidden="false" customHeight="false" outlineLevel="0" collapsed="false">
      <c r="A1729" s="6" t="str">
        <f aca="false">IF('DATA UNIT'!$B88="","",'DATA UNIT'!$B88)</f>
        <v>B 2411 UFY</v>
      </c>
      <c r="B1729" s="6" t="str">
        <f aca="false">IF($A1729="","",INDEX(PlanningItemsList,8))</f>
        <v>Wiper Blade</v>
      </c>
      <c r="C1729" s="7"/>
      <c r="D1729" s="7"/>
    </row>
    <row r="1730" customFormat="false" ht="15" hidden="false" customHeight="false" outlineLevel="0" collapsed="false">
      <c r="A1730" s="6" t="str">
        <f aca="false">IF('DATA UNIT'!$B88="","",'DATA UNIT'!$B88)</f>
        <v>B 2411 UFY</v>
      </c>
      <c r="B1730" s="6" t="str">
        <f aca="false">IF($A1730="","",INDEX(PlanningItemsList,9))</f>
        <v>Ban Depan</v>
      </c>
      <c r="C1730" s="7"/>
      <c r="D1730" s="7"/>
    </row>
    <row r="1731" customFormat="false" ht="15" hidden="false" customHeight="false" outlineLevel="0" collapsed="false">
      <c r="A1731" s="6" t="str">
        <f aca="false">IF('DATA UNIT'!$B88="","",'DATA UNIT'!$B88)</f>
        <v>B 2411 UFY</v>
      </c>
      <c r="B1731" s="6" t="str">
        <f aca="false">IF($A1731="","",INDEX(PlanningItemsList,10))</f>
        <v>Ban Belakang</v>
      </c>
      <c r="C1731" s="7"/>
      <c r="D1731" s="7"/>
    </row>
    <row r="1732" customFormat="false" ht="15" hidden="false" customHeight="false" outlineLevel="0" collapsed="false">
      <c r="A1732" s="6" t="str">
        <f aca="false">IF('DATA UNIT'!$B88="","",'DATA UNIT'!$B88)</f>
        <v>B 2411 UFY</v>
      </c>
      <c r="B1732" s="6" t="str">
        <f aca="false">IF($A1732="","",INDEX(PlanningItemsList,11))</f>
        <v>Ban Serep</v>
      </c>
      <c r="C1732" s="7"/>
      <c r="D1732" s="7"/>
    </row>
    <row r="1733" customFormat="false" ht="15" hidden="false" customHeight="false" outlineLevel="0" collapsed="false">
      <c r="A1733" s="6" t="str">
        <f aca="false">IF('DATA UNIT'!$B88="","",'DATA UNIT'!$B88)</f>
        <v>B 2411 UFY</v>
      </c>
      <c r="B1733" s="6" t="str">
        <f aca="false">IF($A1733="","",INDEX(PlanningItemsList,12))</f>
        <v>Greasing</v>
      </c>
      <c r="C1733" s="7"/>
      <c r="D1733" s="7"/>
    </row>
    <row r="1734" customFormat="false" ht="15" hidden="false" customHeight="false" outlineLevel="0" collapsed="false">
      <c r="A1734" s="6" t="str">
        <f aca="false">IF('DATA UNIT'!$B88="","",'DATA UNIT'!$B88)</f>
        <v>B 2411 UFY</v>
      </c>
      <c r="B1734" s="6" t="str">
        <f aca="false">IF($A1734="","",INDEX(PlanningItemsList,13))</f>
        <v>V-Belt</v>
      </c>
      <c r="C1734" s="7"/>
      <c r="D1734" s="7"/>
    </row>
    <row r="1735" customFormat="false" ht="15" hidden="false" customHeight="false" outlineLevel="0" collapsed="false">
      <c r="A1735" s="6" t="str">
        <f aca="false">IF('DATA UNIT'!$B88="","",'DATA UNIT'!$B88)</f>
        <v>B 2411 UFY</v>
      </c>
      <c r="B1735" s="6" t="str">
        <f aca="false">IF($A1735="","",INDEX(PlanningItemsList,14))</f>
        <v>Sarung Jok</v>
      </c>
      <c r="C1735" s="7"/>
      <c r="D1735" s="7"/>
    </row>
    <row r="1736" customFormat="false" ht="15" hidden="false" customHeight="false" outlineLevel="0" collapsed="false">
      <c r="A1736" s="6" t="str">
        <f aca="false">IF('DATA UNIT'!$B88="","",'DATA UNIT'!$B88)</f>
        <v>B 2411 UFY</v>
      </c>
      <c r="B1736" s="6" t="str">
        <f aca="false">IF($A1736="","",INDEX(PlanningItemsList,15))</f>
        <v>Karpet Karet</v>
      </c>
      <c r="C1736" s="7"/>
      <c r="D1736" s="7"/>
    </row>
    <row r="1737" customFormat="false" ht="15" hidden="false" customHeight="false" outlineLevel="0" collapsed="false">
      <c r="A1737" s="6" t="str">
        <f aca="false">IF('DATA UNIT'!$B88="","",'DATA UNIT'!$B88)</f>
        <v>B 2411 UFY</v>
      </c>
      <c r="B1737" s="6" t="str">
        <f aca="false">IF($A1737="","",INDEX(PlanningItemsList,16))</f>
        <v>Karpet Dasar</v>
      </c>
      <c r="C1737" s="7"/>
      <c r="D1737" s="7"/>
    </row>
    <row r="1738" customFormat="false" ht="15" hidden="false" customHeight="false" outlineLevel="0" collapsed="false">
      <c r="A1738" s="6" t="str">
        <f aca="false">IF('DATA UNIT'!$B88="","",'DATA UNIT'!$B88)</f>
        <v>B 2411 UFY</v>
      </c>
      <c r="B1738" s="6" t="str">
        <f aca="false">IF($A1738="","",INDEX(PlanningItemsList,17))</f>
        <v>Flushing Radiator</v>
      </c>
      <c r="C1738" s="7"/>
      <c r="D1738" s="7"/>
    </row>
    <row r="1739" customFormat="false" ht="15" hidden="false" customHeight="false" outlineLevel="0" collapsed="false">
      <c r="A1739" s="6" t="str">
        <f aca="false">IF('DATA UNIT'!$B88="","",'DATA UNIT'!$B88)</f>
        <v>B 2411 UFY</v>
      </c>
      <c r="B1739" s="6" t="str">
        <f aca="false">IF($A1739="","",INDEX(PlanningItemsList,18))</f>
        <v>Flushing Steering</v>
      </c>
      <c r="C1739" s="7"/>
      <c r="D1739" s="7"/>
    </row>
    <row r="1740" customFormat="false" ht="15" hidden="false" customHeight="false" outlineLevel="0" collapsed="false">
      <c r="A1740" s="6" t="str">
        <f aca="false">IF('DATA UNIT'!$B88="","",'DATA UNIT'!$B88)</f>
        <v>B 2411 UFY</v>
      </c>
      <c r="B1740" s="6" t="str">
        <f aca="false">IF($A1740="","",INDEX(PlanningItemsList,19))</f>
        <v>Flushing Injector</v>
      </c>
      <c r="C1740" s="7"/>
      <c r="D1740" s="7"/>
    </row>
    <row r="1741" customFormat="false" ht="15" hidden="false" customHeight="false" outlineLevel="0" collapsed="false">
      <c r="A1741" s="6" t="str">
        <f aca="false">IF('DATA UNIT'!$B88="","",'DATA UNIT'!$B88)</f>
        <v>B 2411 UFY</v>
      </c>
      <c r="B1741" s="6" t="str">
        <f aca="false">IF($A1741="","",INDEX(PlanningItemsList,20))</f>
        <v>Flushing Rem</v>
      </c>
      <c r="C1741" s="7"/>
      <c r="D1741" s="7"/>
    </row>
    <row r="1742" customFormat="false" ht="15" hidden="false" customHeight="false" outlineLevel="0" collapsed="false">
      <c r="A1742" s="6" t="str">
        <f aca="false">IF('DATA UNIT'!$B89="","",'DATA UNIT'!$B89)</f>
        <v>KT 8038 YV</v>
      </c>
      <c r="B1742" s="6" t="str">
        <f aca="false">IF($A1742="","",INDEX(PlanningItemsList,1))</f>
        <v>PM Check / Reguler Services</v>
      </c>
      <c r="C1742" s="7"/>
      <c r="D1742" s="7"/>
    </row>
    <row r="1743" customFormat="false" ht="15" hidden="false" customHeight="false" outlineLevel="0" collapsed="false">
      <c r="A1743" s="6" t="str">
        <f aca="false">IF('DATA UNIT'!$B89="","",'DATA UNIT'!$B89)</f>
        <v>KT 8038 YV</v>
      </c>
      <c r="B1743" s="6" t="str">
        <f aca="false">IF($A1743="","",INDEX(PlanningItemsList,2))</f>
        <v>Service A</v>
      </c>
      <c r="C1743" s="7"/>
      <c r="D1743" s="7"/>
    </row>
    <row r="1744" customFormat="false" ht="15" hidden="false" customHeight="false" outlineLevel="0" collapsed="false">
      <c r="A1744" s="6" t="str">
        <f aca="false">IF('DATA UNIT'!$B89="","",'DATA UNIT'!$B89)</f>
        <v>KT 8038 YV</v>
      </c>
      <c r="B1744" s="6" t="str">
        <f aca="false">IF($A1744="","",INDEX(PlanningItemsList,3))</f>
        <v>Service B</v>
      </c>
      <c r="C1744" s="7"/>
      <c r="D1744" s="7"/>
    </row>
    <row r="1745" customFormat="false" ht="15" hidden="false" customHeight="false" outlineLevel="0" collapsed="false">
      <c r="A1745" s="6" t="str">
        <f aca="false">IF('DATA UNIT'!$B89="","",'DATA UNIT'!$B89)</f>
        <v>KT 8038 YV</v>
      </c>
      <c r="B1745" s="6" t="str">
        <f aca="false">IF($A1745="","",INDEX(PlanningItemsList,4))</f>
        <v>Brake Pad</v>
      </c>
      <c r="C1745" s="7"/>
      <c r="D1745" s="7"/>
    </row>
    <row r="1746" customFormat="false" ht="15" hidden="false" customHeight="false" outlineLevel="0" collapsed="false">
      <c r="A1746" s="6" t="str">
        <f aca="false">IF('DATA UNIT'!$B89="","",'DATA UNIT'!$B89)</f>
        <v>KT 8038 YV</v>
      </c>
      <c r="B1746" s="6" t="str">
        <f aca="false">IF($A1746="","",INDEX(PlanningItemsList,5))</f>
        <v>Brake Shoe</v>
      </c>
      <c r="C1746" s="7"/>
      <c r="D1746" s="7"/>
    </row>
    <row r="1747" customFormat="false" ht="15" hidden="false" customHeight="false" outlineLevel="0" collapsed="false">
      <c r="A1747" s="6" t="str">
        <f aca="false">IF('DATA UNIT'!$B89="","",'DATA UNIT'!$B89)</f>
        <v>KT 8038 YV</v>
      </c>
      <c r="B1747" s="6" t="str">
        <f aca="false">IF($A1747="","",INDEX(PlanningItemsList,6))</f>
        <v>Accu</v>
      </c>
      <c r="C1747" s="7"/>
      <c r="D1747" s="7"/>
    </row>
    <row r="1748" customFormat="false" ht="15" hidden="false" customHeight="false" outlineLevel="0" collapsed="false">
      <c r="A1748" s="6" t="str">
        <f aca="false">IF('DATA UNIT'!$B89="","",'DATA UNIT'!$B89)</f>
        <v>KT 8038 YV</v>
      </c>
      <c r="B1748" s="6" t="str">
        <f aca="false">IF($A1748="","",INDEX(PlanningItemsList,7))</f>
        <v>Kampas Kopling Set</v>
      </c>
      <c r="C1748" s="7"/>
      <c r="D1748" s="7"/>
    </row>
    <row r="1749" customFormat="false" ht="15" hidden="false" customHeight="false" outlineLevel="0" collapsed="false">
      <c r="A1749" s="6" t="str">
        <f aca="false">IF('DATA UNIT'!$B89="","",'DATA UNIT'!$B89)</f>
        <v>KT 8038 YV</v>
      </c>
      <c r="B1749" s="6" t="str">
        <f aca="false">IF($A1749="","",INDEX(PlanningItemsList,8))</f>
        <v>Wiper Blade</v>
      </c>
      <c r="C1749" s="7"/>
      <c r="D1749" s="7"/>
    </row>
    <row r="1750" customFormat="false" ht="15" hidden="false" customHeight="false" outlineLevel="0" collapsed="false">
      <c r="A1750" s="6" t="str">
        <f aca="false">IF('DATA UNIT'!$B89="","",'DATA UNIT'!$B89)</f>
        <v>KT 8038 YV</v>
      </c>
      <c r="B1750" s="6" t="str">
        <f aca="false">IF($A1750="","",INDEX(PlanningItemsList,9))</f>
        <v>Ban Depan</v>
      </c>
      <c r="C1750" s="7"/>
      <c r="D1750" s="7"/>
    </row>
    <row r="1751" customFormat="false" ht="15" hidden="false" customHeight="false" outlineLevel="0" collapsed="false">
      <c r="A1751" s="6" t="str">
        <f aca="false">IF('DATA UNIT'!$B89="","",'DATA UNIT'!$B89)</f>
        <v>KT 8038 YV</v>
      </c>
      <c r="B1751" s="6" t="str">
        <f aca="false">IF($A1751="","",INDEX(PlanningItemsList,10))</f>
        <v>Ban Belakang</v>
      </c>
      <c r="C1751" s="7"/>
      <c r="D1751" s="7"/>
    </row>
    <row r="1752" customFormat="false" ht="15" hidden="false" customHeight="false" outlineLevel="0" collapsed="false">
      <c r="A1752" s="6" t="str">
        <f aca="false">IF('DATA UNIT'!$B89="","",'DATA UNIT'!$B89)</f>
        <v>KT 8038 YV</v>
      </c>
      <c r="B1752" s="6" t="str">
        <f aca="false">IF($A1752="","",INDEX(PlanningItemsList,11))</f>
        <v>Ban Serep</v>
      </c>
      <c r="C1752" s="7"/>
      <c r="D1752" s="7"/>
    </row>
    <row r="1753" customFormat="false" ht="15" hidden="false" customHeight="false" outlineLevel="0" collapsed="false">
      <c r="A1753" s="6" t="str">
        <f aca="false">IF('DATA UNIT'!$B89="","",'DATA UNIT'!$B89)</f>
        <v>KT 8038 YV</v>
      </c>
      <c r="B1753" s="6" t="str">
        <f aca="false">IF($A1753="","",INDEX(PlanningItemsList,12))</f>
        <v>Greasing</v>
      </c>
      <c r="C1753" s="7"/>
      <c r="D1753" s="7"/>
    </row>
    <row r="1754" customFormat="false" ht="15" hidden="false" customHeight="false" outlineLevel="0" collapsed="false">
      <c r="A1754" s="6" t="str">
        <f aca="false">IF('DATA UNIT'!$B89="","",'DATA UNIT'!$B89)</f>
        <v>KT 8038 YV</v>
      </c>
      <c r="B1754" s="6" t="str">
        <f aca="false">IF($A1754="","",INDEX(PlanningItemsList,13))</f>
        <v>V-Belt</v>
      </c>
      <c r="C1754" s="7"/>
      <c r="D1754" s="7"/>
    </row>
    <row r="1755" customFormat="false" ht="15" hidden="false" customHeight="false" outlineLevel="0" collapsed="false">
      <c r="A1755" s="6" t="str">
        <f aca="false">IF('DATA UNIT'!$B89="","",'DATA UNIT'!$B89)</f>
        <v>KT 8038 YV</v>
      </c>
      <c r="B1755" s="6" t="str">
        <f aca="false">IF($A1755="","",INDEX(PlanningItemsList,14))</f>
        <v>Sarung Jok</v>
      </c>
      <c r="C1755" s="7"/>
      <c r="D1755" s="7"/>
    </row>
    <row r="1756" customFormat="false" ht="15" hidden="false" customHeight="false" outlineLevel="0" collapsed="false">
      <c r="A1756" s="6" t="str">
        <f aca="false">IF('DATA UNIT'!$B89="","",'DATA UNIT'!$B89)</f>
        <v>KT 8038 YV</v>
      </c>
      <c r="B1756" s="6" t="str">
        <f aca="false">IF($A1756="","",INDEX(PlanningItemsList,15))</f>
        <v>Karpet Karet</v>
      </c>
      <c r="C1756" s="7"/>
      <c r="D1756" s="7"/>
    </row>
    <row r="1757" customFormat="false" ht="15" hidden="false" customHeight="false" outlineLevel="0" collapsed="false">
      <c r="A1757" s="6" t="str">
        <f aca="false">IF('DATA UNIT'!$B89="","",'DATA UNIT'!$B89)</f>
        <v>KT 8038 YV</v>
      </c>
      <c r="B1757" s="6" t="str">
        <f aca="false">IF($A1757="","",INDEX(PlanningItemsList,16))</f>
        <v>Karpet Dasar</v>
      </c>
      <c r="C1757" s="7"/>
      <c r="D1757" s="7"/>
    </row>
    <row r="1758" customFormat="false" ht="15" hidden="false" customHeight="false" outlineLevel="0" collapsed="false">
      <c r="A1758" s="6" t="str">
        <f aca="false">IF('DATA UNIT'!$B89="","",'DATA UNIT'!$B89)</f>
        <v>KT 8038 YV</v>
      </c>
      <c r="B1758" s="6" t="str">
        <f aca="false">IF($A1758="","",INDEX(PlanningItemsList,17))</f>
        <v>Flushing Radiator</v>
      </c>
      <c r="C1758" s="7"/>
      <c r="D1758" s="7"/>
    </row>
    <row r="1759" customFormat="false" ht="15" hidden="false" customHeight="false" outlineLevel="0" collapsed="false">
      <c r="A1759" s="6" t="str">
        <f aca="false">IF('DATA UNIT'!$B89="","",'DATA UNIT'!$B89)</f>
        <v>KT 8038 YV</v>
      </c>
      <c r="B1759" s="6" t="str">
        <f aca="false">IF($A1759="","",INDEX(PlanningItemsList,18))</f>
        <v>Flushing Steering</v>
      </c>
      <c r="C1759" s="7"/>
      <c r="D1759" s="7"/>
    </row>
    <row r="1760" customFormat="false" ht="15" hidden="false" customHeight="false" outlineLevel="0" collapsed="false">
      <c r="A1760" s="6" t="str">
        <f aca="false">IF('DATA UNIT'!$B89="","",'DATA UNIT'!$B89)</f>
        <v>KT 8038 YV</v>
      </c>
      <c r="B1760" s="6" t="str">
        <f aca="false">IF($A1760="","",INDEX(PlanningItemsList,19))</f>
        <v>Flushing Injector</v>
      </c>
      <c r="C1760" s="7"/>
      <c r="D1760" s="7"/>
    </row>
    <row r="1761" customFormat="false" ht="15" hidden="false" customHeight="false" outlineLevel="0" collapsed="false">
      <c r="A1761" s="6" t="str">
        <f aca="false">IF('DATA UNIT'!$B89="","",'DATA UNIT'!$B89)</f>
        <v>KT 8038 YV</v>
      </c>
      <c r="B1761" s="6" t="str">
        <f aca="false">IF($A1761="","",INDEX(PlanningItemsList,20))</f>
        <v>Flushing Rem</v>
      </c>
      <c r="C1761" s="7"/>
      <c r="D1761" s="7"/>
    </row>
    <row r="1762" customFormat="false" ht="15" hidden="false" customHeight="false" outlineLevel="0" collapsed="false">
      <c r="A1762" s="6" t="str">
        <f aca="false">IF('DATA UNIT'!$B90="","",'DATA UNIT'!$B90)</f>
        <v>KT 8926 YZ</v>
      </c>
      <c r="B1762" s="6" t="str">
        <f aca="false">IF($A1762="","",INDEX(PlanningItemsList,1))</f>
        <v>PM Check / Reguler Services</v>
      </c>
      <c r="C1762" s="7"/>
      <c r="D1762" s="7"/>
    </row>
    <row r="1763" customFormat="false" ht="15" hidden="false" customHeight="false" outlineLevel="0" collapsed="false">
      <c r="A1763" s="6" t="str">
        <f aca="false">IF('DATA UNIT'!$B90="","",'DATA UNIT'!$B90)</f>
        <v>KT 8926 YZ</v>
      </c>
      <c r="B1763" s="6" t="str">
        <f aca="false">IF($A1763="","",INDEX(PlanningItemsList,2))</f>
        <v>Service A</v>
      </c>
      <c r="C1763" s="7"/>
      <c r="D1763" s="7"/>
    </row>
    <row r="1764" customFormat="false" ht="15" hidden="false" customHeight="false" outlineLevel="0" collapsed="false">
      <c r="A1764" s="6" t="str">
        <f aca="false">IF('DATA UNIT'!$B90="","",'DATA UNIT'!$B90)</f>
        <v>KT 8926 YZ</v>
      </c>
      <c r="B1764" s="6" t="str">
        <f aca="false">IF($A1764="","",INDEX(PlanningItemsList,3))</f>
        <v>Service B</v>
      </c>
      <c r="C1764" s="7"/>
      <c r="D1764" s="7"/>
    </row>
    <row r="1765" customFormat="false" ht="15" hidden="false" customHeight="false" outlineLevel="0" collapsed="false">
      <c r="A1765" s="6" t="str">
        <f aca="false">IF('DATA UNIT'!$B90="","",'DATA UNIT'!$B90)</f>
        <v>KT 8926 YZ</v>
      </c>
      <c r="B1765" s="6" t="str">
        <f aca="false">IF($A1765="","",INDEX(PlanningItemsList,4))</f>
        <v>Brake Pad</v>
      </c>
      <c r="C1765" s="7"/>
      <c r="D1765" s="7"/>
    </row>
    <row r="1766" customFormat="false" ht="15" hidden="false" customHeight="false" outlineLevel="0" collapsed="false">
      <c r="A1766" s="6" t="str">
        <f aca="false">IF('DATA UNIT'!$B90="","",'DATA UNIT'!$B90)</f>
        <v>KT 8926 YZ</v>
      </c>
      <c r="B1766" s="6" t="str">
        <f aca="false">IF($A1766="","",INDEX(PlanningItemsList,5))</f>
        <v>Brake Shoe</v>
      </c>
      <c r="C1766" s="7"/>
      <c r="D1766" s="7"/>
    </row>
    <row r="1767" customFormat="false" ht="15" hidden="false" customHeight="false" outlineLevel="0" collapsed="false">
      <c r="A1767" s="6" t="str">
        <f aca="false">IF('DATA UNIT'!$B90="","",'DATA UNIT'!$B90)</f>
        <v>KT 8926 YZ</v>
      </c>
      <c r="B1767" s="6" t="str">
        <f aca="false">IF($A1767="","",INDEX(PlanningItemsList,6))</f>
        <v>Accu</v>
      </c>
      <c r="C1767" s="7"/>
      <c r="D1767" s="7"/>
    </row>
    <row r="1768" customFormat="false" ht="15" hidden="false" customHeight="false" outlineLevel="0" collapsed="false">
      <c r="A1768" s="6" t="str">
        <f aca="false">IF('DATA UNIT'!$B90="","",'DATA UNIT'!$B90)</f>
        <v>KT 8926 YZ</v>
      </c>
      <c r="B1768" s="6" t="str">
        <f aca="false">IF($A1768="","",INDEX(PlanningItemsList,7))</f>
        <v>Kampas Kopling Set</v>
      </c>
      <c r="C1768" s="7"/>
      <c r="D1768" s="7"/>
    </row>
    <row r="1769" customFormat="false" ht="15" hidden="false" customHeight="false" outlineLevel="0" collapsed="false">
      <c r="A1769" s="6" t="str">
        <f aca="false">IF('DATA UNIT'!$B90="","",'DATA UNIT'!$B90)</f>
        <v>KT 8926 YZ</v>
      </c>
      <c r="B1769" s="6" t="str">
        <f aca="false">IF($A1769="","",INDEX(PlanningItemsList,8))</f>
        <v>Wiper Blade</v>
      </c>
      <c r="C1769" s="7"/>
      <c r="D1769" s="7"/>
    </row>
    <row r="1770" customFormat="false" ht="15" hidden="false" customHeight="false" outlineLevel="0" collapsed="false">
      <c r="A1770" s="6" t="str">
        <f aca="false">IF('DATA UNIT'!$B90="","",'DATA UNIT'!$B90)</f>
        <v>KT 8926 YZ</v>
      </c>
      <c r="B1770" s="6" t="str">
        <f aca="false">IF($A1770="","",INDEX(PlanningItemsList,9))</f>
        <v>Ban Depan</v>
      </c>
      <c r="C1770" s="7"/>
      <c r="D1770" s="7"/>
    </row>
    <row r="1771" customFormat="false" ht="15" hidden="false" customHeight="false" outlineLevel="0" collapsed="false">
      <c r="A1771" s="6" t="str">
        <f aca="false">IF('DATA UNIT'!$B90="","",'DATA UNIT'!$B90)</f>
        <v>KT 8926 YZ</v>
      </c>
      <c r="B1771" s="6" t="str">
        <f aca="false">IF($A1771="","",INDEX(PlanningItemsList,10))</f>
        <v>Ban Belakang</v>
      </c>
      <c r="C1771" s="7"/>
      <c r="D1771" s="7"/>
    </row>
    <row r="1772" customFormat="false" ht="15" hidden="false" customHeight="false" outlineLevel="0" collapsed="false">
      <c r="A1772" s="6" t="str">
        <f aca="false">IF('DATA UNIT'!$B90="","",'DATA UNIT'!$B90)</f>
        <v>KT 8926 YZ</v>
      </c>
      <c r="B1772" s="6" t="str">
        <f aca="false">IF($A1772="","",INDEX(PlanningItemsList,11))</f>
        <v>Ban Serep</v>
      </c>
      <c r="C1772" s="7"/>
      <c r="D1772" s="7"/>
    </row>
    <row r="1773" customFormat="false" ht="15" hidden="false" customHeight="false" outlineLevel="0" collapsed="false">
      <c r="A1773" s="6" t="str">
        <f aca="false">IF('DATA UNIT'!$B90="","",'DATA UNIT'!$B90)</f>
        <v>KT 8926 YZ</v>
      </c>
      <c r="B1773" s="6" t="str">
        <f aca="false">IF($A1773="","",INDEX(PlanningItemsList,12))</f>
        <v>Greasing</v>
      </c>
      <c r="C1773" s="7"/>
      <c r="D1773" s="7"/>
    </row>
    <row r="1774" customFormat="false" ht="15" hidden="false" customHeight="false" outlineLevel="0" collapsed="false">
      <c r="A1774" s="6" t="str">
        <f aca="false">IF('DATA UNIT'!$B90="","",'DATA UNIT'!$B90)</f>
        <v>KT 8926 YZ</v>
      </c>
      <c r="B1774" s="6" t="str">
        <f aca="false">IF($A1774="","",INDEX(PlanningItemsList,13))</f>
        <v>V-Belt</v>
      </c>
      <c r="C1774" s="7"/>
      <c r="D1774" s="7"/>
    </row>
    <row r="1775" customFormat="false" ht="15" hidden="false" customHeight="false" outlineLevel="0" collapsed="false">
      <c r="A1775" s="6" t="str">
        <f aca="false">IF('DATA UNIT'!$B90="","",'DATA UNIT'!$B90)</f>
        <v>KT 8926 YZ</v>
      </c>
      <c r="B1775" s="6" t="str">
        <f aca="false">IF($A1775="","",INDEX(PlanningItemsList,14))</f>
        <v>Sarung Jok</v>
      </c>
      <c r="C1775" s="7"/>
      <c r="D1775" s="7"/>
    </row>
    <row r="1776" customFormat="false" ht="15" hidden="false" customHeight="false" outlineLevel="0" collapsed="false">
      <c r="A1776" s="6" t="str">
        <f aca="false">IF('DATA UNIT'!$B90="","",'DATA UNIT'!$B90)</f>
        <v>KT 8926 YZ</v>
      </c>
      <c r="B1776" s="6" t="str">
        <f aca="false">IF($A1776="","",INDEX(PlanningItemsList,15))</f>
        <v>Karpet Karet</v>
      </c>
      <c r="C1776" s="7"/>
      <c r="D1776" s="7"/>
    </row>
    <row r="1777" customFormat="false" ht="15" hidden="false" customHeight="false" outlineLevel="0" collapsed="false">
      <c r="A1777" s="6" t="str">
        <f aca="false">IF('DATA UNIT'!$B90="","",'DATA UNIT'!$B90)</f>
        <v>KT 8926 YZ</v>
      </c>
      <c r="B1777" s="6" t="str">
        <f aca="false">IF($A1777="","",INDEX(PlanningItemsList,16))</f>
        <v>Karpet Dasar</v>
      </c>
      <c r="C1777" s="7"/>
      <c r="D1777" s="7"/>
    </row>
    <row r="1778" customFormat="false" ht="15" hidden="false" customHeight="false" outlineLevel="0" collapsed="false">
      <c r="A1778" s="6" t="str">
        <f aca="false">IF('DATA UNIT'!$B90="","",'DATA UNIT'!$B90)</f>
        <v>KT 8926 YZ</v>
      </c>
      <c r="B1778" s="6" t="str">
        <f aca="false">IF($A1778="","",INDEX(PlanningItemsList,17))</f>
        <v>Flushing Radiator</v>
      </c>
      <c r="C1778" s="7"/>
      <c r="D1778" s="7"/>
    </row>
    <row r="1779" customFormat="false" ht="15" hidden="false" customHeight="false" outlineLevel="0" collapsed="false">
      <c r="A1779" s="6" t="str">
        <f aca="false">IF('DATA UNIT'!$B90="","",'DATA UNIT'!$B90)</f>
        <v>KT 8926 YZ</v>
      </c>
      <c r="B1779" s="6" t="str">
        <f aca="false">IF($A1779="","",INDEX(PlanningItemsList,18))</f>
        <v>Flushing Steering</v>
      </c>
      <c r="C1779" s="7"/>
      <c r="D1779" s="7"/>
    </row>
    <row r="1780" customFormat="false" ht="15" hidden="false" customHeight="false" outlineLevel="0" collapsed="false">
      <c r="A1780" s="6" t="str">
        <f aca="false">IF('DATA UNIT'!$B90="","",'DATA UNIT'!$B90)</f>
        <v>KT 8926 YZ</v>
      </c>
      <c r="B1780" s="6" t="str">
        <f aca="false">IF($A1780="","",INDEX(PlanningItemsList,19))</f>
        <v>Flushing Injector</v>
      </c>
      <c r="C1780" s="7"/>
      <c r="D1780" s="7"/>
    </row>
    <row r="1781" customFormat="false" ht="15" hidden="false" customHeight="false" outlineLevel="0" collapsed="false">
      <c r="A1781" s="6" t="str">
        <f aca="false">IF('DATA UNIT'!$B90="","",'DATA UNIT'!$B90)</f>
        <v>KT 8926 YZ</v>
      </c>
      <c r="B1781" s="6" t="str">
        <f aca="false">IF($A1781="","",INDEX(PlanningItemsList,20))</f>
        <v>Flushing Rem</v>
      </c>
      <c r="C1781" s="7"/>
      <c r="D1781" s="7"/>
    </row>
    <row r="1782" customFormat="false" ht="15" hidden="false" customHeight="false" outlineLevel="0" collapsed="false">
      <c r="A1782" s="6" t="str">
        <f aca="false">IF('DATA UNIT'!$B91="","",'DATA UNIT'!$B91)</f>
        <v>KT 8693 YS</v>
      </c>
      <c r="B1782" s="6" t="str">
        <f aca="false">IF($A1782="","",INDEX(PlanningItemsList,1))</f>
        <v>PM Check / Reguler Services</v>
      </c>
      <c r="C1782" s="7"/>
      <c r="D1782" s="7"/>
    </row>
    <row r="1783" customFormat="false" ht="15" hidden="false" customHeight="false" outlineLevel="0" collapsed="false">
      <c r="A1783" s="6" t="str">
        <f aca="false">IF('DATA UNIT'!$B91="","",'DATA UNIT'!$B91)</f>
        <v>KT 8693 YS</v>
      </c>
      <c r="B1783" s="6" t="str">
        <f aca="false">IF($A1783="","",INDEX(PlanningItemsList,2))</f>
        <v>Service A</v>
      </c>
      <c r="C1783" s="7"/>
      <c r="D1783" s="7"/>
    </row>
    <row r="1784" customFormat="false" ht="15" hidden="false" customHeight="false" outlineLevel="0" collapsed="false">
      <c r="A1784" s="6" t="str">
        <f aca="false">IF('DATA UNIT'!$B91="","",'DATA UNIT'!$B91)</f>
        <v>KT 8693 YS</v>
      </c>
      <c r="B1784" s="6" t="str">
        <f aca="false">IF($A1784="","",INDEX(PlanningItemsList,3))</f>
        <v>Service B</v>
      </c>
      <c r="C1784" s="7"/>
      <c r="D1784" s="7"/>
    </row>
    <row r="1785" customFormat="false" ht="15" hidden="false" customHeight="false" outlineLevel="0" collapsed="false">
      <c r="A1785" s="6" t="str">
        <f aca="false">IF('DATA UNIT'!$B91="","",'DATA UNIT'!$B91)</f>
        <v>KT 8693 YS</v>
      </c>
      <c r="B1785" s="6" t="str">
        <f aca="false">IF($A1785="","",INDEX(PlanningItemsList,4))</f>
        <v>Brake Pad</v>
      </c>
      <c r="C1785" s="7"/>
      <c r="D1785" s="7"/>
    </row>
    <row r="1786" customFormat="false" ht="15" hidden="false" customHeight="false" outlineLevel="0" collapsed="false">
      <c r="A1786" s="6" t="str">
        <f aca="false">IF('DATA UNIT'!$B91="","",'DATA UNIT'!$B91)</f>
        <v>KT 8693 YS</v>
      </c>
      <c r="B1786" s="6" t="str">
        <f aca="false">IF($A1786="","",INDEX(PlanningItemsList,5))</f>
        <v>Brake Shoe</v>
      </c>
      <c r="C1786" s="7"/>
      <c r="D1786" s="7"/>
    </row>
    <row r="1787" customFormat="false" ht="15" hidden="false" customHeight="false" outlineLevel="0" collapsed="false">
      <c r="A1787" s="6" t="str">
        <f aca="false">IF('DATA UNIT'!$B91="","",'DATA UNIT'!$B91)</f>
        <v>KT 8693 YS</v>
      </c>
      <c r="B1787" s="6" t="str">
        <f aca="false">IF($A1787="","",INDEX(PlanningItemsList,6))</f>
        <v>Accu</v>
      </c>
      <c r="C1787" s="7"/>
      <c r="D1787" s="7"/>
    </row>
    <row r="1788" customFormat="false" ht="15" hidden="false" customHeight="false" outlineLevel="0" collapsed="false">
      <c r="A1788" s="6" t="str">
        <f aca="false">IF('DATA UNIT'!$B91="","",'DATA UNIT'!$B91)</f>
        <v>KT 8693 YS</v>
      </c>
      <c r="B1788" s="6" t="str">
        <f aca="false">IF($A1788="","",INDEX(PlanningItemsList,7))</f>
        <v>Kampas Kopling Set</v>
      </c>
      <c r="C1788" s="7"/>
      <c r="D1788" s="7"/>
    </row>
    <row r="1789" customFormat="false" ht="15" hidden="false" customHeight="false" outlineLevel="0" collapsed="false">
      <c r="A1789" s="6" t="str">
        <f aca="false">IF('DATA UNIT'!$B91="","",'DATA UNIT'!$B91)</f>
        <v>KT 8693 YS</v>
      </c>
      <c r="B1789" s="6" t="str">
        <f aca="false">IF($A1789="","",INDEX(PlanningItemsList,8))</f>
        <v>Wiper Blade</v>
      </c>
      <c r="C1789" s="7"/>
      <c r="D1789" s="7"/>
    </row>
    <row r="1790" customFormat="false" ht="15" hidden="false" customHeight="false" outlineLevel="0" collapsed="false">
      <c r="A1790" s="6" t="str">
        <f aca="false">IF('DATA UNIT'!$B91="","",'DATA UNIT'!$B91)</f>
        <v>KT 8693 YS</v>
      </c>
      <c r="B1790" s="6" t="str">
        <f aca="false">IF($A1790="","",INDEX(PlanningItemsList,9))</f>
        <v>Ban Depan</v>
      </c>
      <c r="C1790" s="7"/>
      <c r="D1790" s="7"/>
    </row>
    <row r="1791" customFormat="false" ht="15" hidden="false" customHeight="false" outlineLevel="0" collapsed="false">
      <c r="A1791" s="6" t="str">
        <f aca="false">IF('DATA UNIT'!$B91="","",'DATA UNIT'!$B91)</f>
        <v>KT 8693 YS</v>
      </c>
      <c r="B1791" s="6" t="str">
        <f aca="false">IF($A1791="","",INDEX(PlanningItemsList,10))</f>
        <v>Ban Belakang</v>
      </c>
      <c r="C1791" s="7"/>
      <c r="D1791" s="7"/>
    </row>
    <row r="1792" customFormat="false" ht="15" hidden="false" customHeight="false" outlineLevel="0" collapsed="false">
      <c r="A1792" s="6" t="str">
        <f aca="false">IF('DATA UNIT'!$B91="","",'DATA UNIT'!$B91)</f>
        <v>KT 8693 YS</v>
      </c>
      <c r="B1792" s="6" t="str">
        <f aca="false">IF($A1792="","",INDEX(PlanningItemsList,11))</f>
        <v>Ban Serep</v>
      </c>
      <c r="C1792" s="7"/>
      <c r="D1792" s="7"/>
    </row>
    <row r="1793" customFormat="false" ht="15" hidden="false" customHeight="false" outlineLevel="0" collapsed="false">
      <c r="A1793" s="6" t="str">
        <f aca="false">IF('DATA UNIT'!$B91="","",'DATA UNIT'!$B91)</f>
        <v>KT 8693 YS</v>
      </c>
      <c r="B1793" s="6" t="str">
        <f aca="false">IF($A1793="","",INDEX(PlanningItemsList,12))</f>
        <v>Greasing</v>
      </c>
      <c r="C1793" s="7"/>
      <c r="D1793" s="7"/>
    </row>
    <row r="1794" customFormat="false" ht="15" hidden="false" customHeight="false" outlineLevel="0" collapsed="false">
      <c r="A1794" s="6" t="str">
        <f aca="false">IF('DATA UNIT'!$B91="","",'DATA UNIT'!$B91)</f>
        <v>KT 8693 YS</v>
      </c>
      <c r="B1794" s="6" t="str">
        <f aca="false">IF($A1794="","",INDEX(PlanningItemsList,13))</f>
        <v>V-Belt</v>
      </c>
      <c r="C1794" s="7"/>
      <c r="D1794" s="7"/>
    </row>
    <row r="1795" customFormat="false" ht="15" hidden="false" customHeight="false" outlineLevel="0" collapsed="false">
      <c r="A1795" s="6" t="str">
        <f aca="false">IF('DATA UNIT'!$B91="","",'DATA UNIT'!$B91)</f>
        <v>KT 8693 YS</v>
      </c>
      <c r="B1795" s="6" t="str">
        <f aca="false">IF($A1795="","",INDEX(PlanningItemsList,14))</f>
        <v>Sarung Jok</v>
      </c>
      <c r="C1795" s="7"/>
      <c r="D1795" s="7"/>
    </row>
    <row r="1796" customFormat="false" ht="15" hidden="false" customHeight="false" outlineLevel="0" collapsed="false">
      <c r="A1796" s="6" t="str">
        <f aca="false">IF('DATA UNIT'!$B91="","",'DATA UNIT'!$B91)</f>
        <v>KT 8693 YS</v>
      </c>
      <c r="B1796" s="6" t="str">
        <f aca="false">IF($A1796="","",INDEX(PlanningItemsList,15))</f>
        <v>Karpet Karet</v>
      </c>
      <c r="C1796" s="7"/>
      <c r="D1796" s="7"/>
    </row>
    <row r="1797" customFormat="false" ht="15" hidden="false" customHeight="false" outlineLevel="0" collapsed="false">
      <c r="A1797" s="6" t="str">
        <f aca="false">IF('DATA UNIT'!$B91="","",'DATA UNIT'!$B91)</f>
        <v>KT 8693 YS</v>
      </c>
      <c r="B1797" s="6" t="str">
        <f aca="false">IF($A1797="","",INDEX(PlanningItemsList,16))</f>
        <v>Karpet Dasar</v>
      </c>
      <c r="C1797" s="7"/>
      <c r="D1797" s="7"/>
    </row>
    <row r="1798" customFormat="false" ht="15" hidden="false" customHeight="false" outlineLevel="0" collapsed="false">
      <c r="A1798" s="6" t="str">
        <f aca="false">IF('DATA UNIT'!$B91="","",'DATA UNIT'!$B91)</f>
        <v>KT 8693 YS</v>
      </c>
      <c r="B1798" s="6" t="str">
        <f aca="false">IF($A1798="","",INDEX(PlanningItemsList,17))</f>
        <v>Flushing Radiator</v>
      </c>
      <c r="C1798" s="7"/>
      <c r="D1798" s="7"/>
    </row>
    <row r="1799" customFormat="false" ht="15" hidden="false" customHeight="false" outlineLevel="0" collapsed="false">
      <c r="A1799" s="6" t="str">
        <f aca="false">IF('DATA UNIT'!$B91="","",'DATA UNIT'!$B91)</f>
        <v>KT 8693 YS</v>
      </c>
      <c r="B1799" s="6" t="str">
        <f aca="false">IF($A1799="","",INDEX(PlanningItemsList,18))</f>
        <v>Flushing Steering</v>
      </c>
      <c r="C1799" s="7"/>
      <c r="D1799" s="7"/>
    </row>
    <row r="1800" customFormat="false" ht="15" hidden="false" customHeight="false" outlineLevel="0" collapsed="false">
      <c r="A1800" s="6" t="str">
        <f aca="false">IF('DATA UNIT'!$B91="","",'DATA UNIT'!$B91)</f>
        <v>KT 8693 YS</v>
      </c>
      <c r="B1800" s="6" t="str">
        <f aca="false">IF($A1800="","",INDEX(PlanningItemsList,19))</f>
        <v>Flushing Injector</v>
      </c>
      <c r="C1800" s="7"/>
      <c r="D1800" s="7"/>
    </row>
    <row r="1801" customFormat="false" ht="15" hidden="false" customHeight="false" outlineLevel="0" collapsed="false">
      <c r="A1801" s="6" t="str">
        <f aca="false">IF('DATA UNIT'!$B91="","",'DATA UNIT'!$B91)</f>
        <v>KT 8693 YS</v>
      </c>
      <c r="B1801" s="6" t="str">
        <f aca="false">IF($A1801="","",INDEX(PlanningItemsList,20))</f>
        <v>Flushing Rem</v>
      </c>
      <c r="C1801" s="7"/>
      <c r="D1801" s="7"/>
    </row>
    <row r="1802" customFormat="false" ht="15" hidden="false" customHeight="false" outlineLevel="0" collapsed="false">
      <c r="A1802" s="6" t="str">
        <f aca="false">IF('DATA UNIT'!$B92="","",'DATA UNIT'!$B92)</f>
        <v>KT 8834 YQ</v>
      </c>
      <c r="B1802" s="6" t="str">
        <f aca="false">IF($A1802="","",INDEX(PlanningItemsList,1))</f>
        <v>PM Check / Reguler Services</v>
      </c>
      <c r="C1802" s="7"/>
      <c r="D1802" s="7"/>
    </row>
    <row r="1803" customFormat="false" ht="15" hidden="false" customHeight="false" outlineLevel="0" collapsed="false">
      <c r="A1803" s="6" t="str">
        <f aca="false">IF('DATA UNIT'!$B92="","",'DATA UNIT'!$B92)</f>
        <v>KT 8834 YQ</v>
      </c>
      <c r="B1803" s="6" t="str">
        <f aca="false">IF($A1803="","",INDEX(PlanningItemsList,2))</f>
        <v>Service A</v>
      </c>
      <c r="C1803" s="7"/>
      <c r="D1803" s="7"/>
    </row>
    <row r="1804" customFormat="false" ht="15" hidden="false" customHeight="false" outlineLevel="0" collapsed="false">
      <c r="A1804" s="6" t="str">
        <f aca="false">IF('DATA UNIT'!$B92="","",'DATA UNIT'!$B92)</f>
        <v>KT 8834 YQ</v>
      </c>
      <c r="B1804" s="6" t="str">
        <f aca="false">IF($A1804="","",INDEX(PlanningItemsList,3))</f>
        <v>Service B</v>
      </c>
      <c r="C1804" s="7"/>
      <c r="D1804" s="7"/>
    </row>
    <row r="1805" customFormat="false" ht="15" hidden="false" customHeight="false" outlineLevel="0" collapsed="false">
      <c r="A1805" s="6" t="str">
        <f aca="false">IF('DATA UNIT'!$B92="","",'DATA UNIT'!$B92)</f>
        <v>KT 8834 YQ</v>
      </c>
      <c r="B1805" s="6" t="str">
        <f aca="false">IF($A1805="","",INDEX(PlanningItemsList,4))</f>
        <v>Brake Pad</v>
      </c>
      <c r="C1805" s="7"/>
      <c r="D1805" s="7"/>
    </row>
    <row r="1806" customFormat="false" ht="15" hidden="false" customHeight="false" outlineLevel="0" collapsed="false">
      <c r="A1806" s="6" t="str">
        <f aca="false">IF('DATA UNIT'!$B92="","",'DATA UNIT'!$B92)</f>
        <v>KT 8834 YQ</v>
      </c>
      <c r="B1806" s="6" t="str">
        <f aca="false">IF($A1806="","",INDEX(PlanningItemsList,5))</f>
        <v>Brake Shoe</v>
      </c>
      <c r="C1806" s="7"/>
      <c r="D1806" s="7"/>
    </row>
    <row r="1807" customFormat="false" ht="15" hidden="false" customHeight="false" outlineLevel="0" collapsed="false">
      <c r="A1807" s="6" t="str">
        <f aca="false">IF('DATA UNIT'!$B92="","",'DATA UNIT'!$B92)</f>
        <v>KT 8834 YQ</v>
      </c>
      <c r="B1807" s="6" t="str">
        <f aca="false">IF($A1807="","",INDEX(PlanningItemsList,6))</f>
        <v>Accu</v>
      </c>
      <c r="C1807" s="7"/>
      <c r="D1807" s="7"/>
    </row>
    <row r="1808" customFormat="false" ht="15" hidden="false" customHeight="false" outlineLevel="0" collapsed="false">
      <c r="A1808" s="6" t="str">
        <f aca="false">IF('DATA UNIT'!$B92="","",'DATA UNIT'!$B92)</f>
        <v>KT 8834 YQ</v>
      </c>
      <c r="B1808" s="6" t="str">
        <f aca="false">IF($A1808="","",INDEX(PlanningItemsList,7))</f>
        <v>Kampas Kopling Set</v>
      </c>
      <c r="C1808" s="7"/>
      <c r="D1808" s="7"/>
    </row>
    <row r="1809" customFormat="false" ht="15" hidden="false" customHeight="false" outlineLevel="0" collapsed="false">
      <c r="A1809" s="6" t="str">
        <f aca="false">IF('DATA UNIT'!$B92="","",'DATA UNIT'!$B92)</f>
        <v>KT 8834 YQ</v>
      </c>
      <c r="B1809" s="6" t="str">
        <f aca="false">IF($A1809="","",INDEX(PlanningItemsList,8))</f>
        <v>Wiper Blade</v>
      </c>
      <c r="C1809" s="7"/>
      <c r="D1809" s="7"/>
    </row>
    <row r="1810" customFormat="false" ht="15" hidden="false" customHeight="false" outlineLevel="0" collapsed="false">
      <c r="A1810" s="6" t="str">
        <f aca="false">IF('DATA UNIT'!$B92="","",'DATA UNIT'!$B92)</f>
        <v>KT 8834 YQ</v>
      </c>
      <c r="B1810" s="6" t="str">
        <f aca="false">IF($A1810="","",INDEX(PlanningItemsList,9))</f>
        <v>Ban Depan</v>
      </c>
      <c r="C1810" s="7"/>
      <c r="D1810" s="7"/>
    </row>
    <row r="1811" customFormat="false" ht="15" hidden="false" customHeight="false" outlineLevel="0" collapsed="false">
      <c r="A1811" s="6" t="str">
        <f aca="false">IF('DATA UNIT'!$B92="","",'DATA UNIT'!$B92)</f>
        <v>KT 8834 YQ</v>
      </c>
      <c r="B1811" s="6" t="str">
        <f aca="false">IF($A1811="","",INDEX(PlanningItemsList,10))</f>
        <v>Ban Belakang</v>
      </c>
      <c r="C1811" s="7"/>
      <c r="D1811" s="7"/>
    </row>
    <row r="1812" customFormat="false" ht="15" hidden="false" customHeight="false" outlineLevel="0" collapsed="false">
      <c r="A1812" s="6" t="str">
        <f aca="false">IF('DATA UNIT'!$B92="","",'DATA UNIT'!$B92)</f>
        <v>KT 8834 YQ</v>
      </c>
      <c r="B1812" s="6" t="str">
        <f aca="false">IF($A1812="","",INDEX(PlanningItemsList,11))</f>
        <v>Ban Serep</v>
      </c>
      <c r="C1812" s="7"/>
      <c r="D1812" s="7"/>
    </row>
    <row r="1813" customFormat="false" ht="15" hidden="false" customHeight="false" outlineLevel="0" collapsed="false">
      <c r="A1813" s="6" t="str">
        <f aca="false">IF('DATA UNIT'!$B92="","",'DATA UNIT'!$B92)</f>
        <v>KT 8834 YQ</v>
      </c>
      <c r="B1813" s="6" t="str">
        <f aca="false">IF($A1813="","",INDEX(PlanningItemsList,12))</f>
        <v>Greasing</v>
      </c>
      <c r="C1813" s="7"/>
      <c r="D1813" s="7"/>
    </row>
    <row r="1814" customFormat="false" ht="15" hidden="false" customHeight="false" outlineLevel="0" collapsed="false">
      <c r="A1814" s="6" t="str">
        <f aca="false">IF('DATA UNIT'!$B92="","",'DATA UNIT'!$B92)</f>
        <v>KT 8834 YQ</v>
      </c>
      <c r="B1814" s="6" t="str">
        <f aca="false">IF($A1814="","",INDEX(PlanningItemsList,13))</f>
        <v>V-Belt</v>
      </c>
      <c r="C1814" s="7"/>
      <c r="D1814" s="7"/>
    </row>
    <row r="1815" customFormat="false" ht="15" hidden="false" customHeight="false" outlineLevel="0" collapsed="false">
      <c r="A1815" s="6" t="str">
        <f aca="false">IF('DATA UNIT'!$B92="","",'DATA UNIT'!$B92)</f>
        <v>KT 8834 YQ</v>
      </c>
      <c r="B1815" s="6" t="str">
        <f aca="false">IF($A1815="","",INDEX(PlanningItemsList,14))</f>
        <v>Sarung Jok</v>
      </c>
      <c r="C1815" s="7"/>
      <c r="D1815" s="7"/>
    </row>
    <row r="1816" customFormat="false" ht="15" hidden="false" customHeight="false" outlineLevel="0" collapsed="false">
      <c r="A1816" s="6" t="str">
        <f aca="false">IF('DATA UNIT'!$B92="","",'DATA UNIT'!$B92)</f>
        <v>KT 8834 YQ</v>
      </c>
      <c r="B1816" s="6" t="str">
        <f aca="false">IF($A1816="","",INDEX(PlanningItemsList,15))</f>
        <v>Karpet Karet</v>
      </c>
      <c r="C1816" s="7"/>
      <c r="D1816" s="7"/>
    </row>
    <row r="1817" customFormat="false" ht="15" hidden="false" customHeight="false" outlineLevel="0" collapsed="false">
      <c r="A1817" s="6" t="str">
        <f aca="false">IF('DATA UNIT'!$B92="","",'DATA UNIT'!$B92)</f>
        <v>KT 8834 YQ</v>
      </c>
      <c r="B1817" s="6" t="str">
        <f aca="false">IF($A1817="","",INDEX(PlanningItemsList,16))</f>
        <v>Karpet Dasar</v>
      </c>
      <c r="C1817" s="7"/>
      <c r="D1817" s="7"/>
    </row>
    <row r="1818" customFormat="false" ht="15" hidden="false" customHeight="false" outlineLevel="0" collapsed="false">
      <c r="A1818" s="6" t="str">
        <f aca="false">IF('DATA UNIT'!$B92="","",'DATA UNIT'!$B92)</f>
        <v>KT 8834 YQ</v>
      </c>
      <c r="B1818" s="6" t="str">
        <f aca="false">IF($A1818="","",INDEX(PlanningItemsList,17))</f>
        <v>Flushing Radiator</v>
      </c>
      <c r="C1818" s="7"/>
      <c r="D1818" s="7"/>
    </row>
    <row r="1819" customFormat="false" ht="15" hidden="false" customHeight="false" outlineLevel="0" collapsed="false">
      <c r="A1819" s="6" t="str">
        <f aca="false">IF('DATA UNIT'!$B92="","",'DATA UNIT'!$B92)</f>
        <v>KT 8834 YQ</v>
      </c>
      <c r="B1819" s="6" t="str">
        <f aca="false">IF($A1819="","",INDEX(PlanningItemsList,18))</f>
        <v>Flushing Steering</v>
      </c>
      <c r="C1819" s="7"/>
      <c r="D1819" s="7"/>
    </row>
    <row r="1820" customFormat="false" ht="15" hidden="false" customHeight="false" outlineLevel="0" collapsed="false">
      <c r="A1820" s="6" t="str">
        <f aca="false">IF('DATA UNIT'!$B92="","",'DATA UNIT'!$B92)</f>
        <v>KT 8834 YQ</v>
      </c>
      <c r="B1820" s="6" t="str">
        <f aca="false">IF($A1820="","",INDEX(PlanningItemsList,19))</f>
        <v>Flushing Injector</v>
      </c>
      <c r="C1820" s="7"/>
      <c r="D1820" s="7"/>
    </row>
    <row r="1821" customFormat="false" ht="15" hidden="false" customHeight="false" outlineLevel="0" collapsed="false">
      <c r="A1821" s="6" t="str">
        <f aca="false">IF('DATA UNIT'!$B92="","",'DATA UNIT'!$B92)</f>
        <v>KT 8834 YQ</v>
      </c>
      <c r="B1821" s="6" t="str">
        <f aca="false">IF($A1821="","",INDEX(PlanningItemsList,20))</f>
        <v>Flushing Rem</v>
      </c>
      <c r="C1821" s="7"/>
      <c r="D1821" s="7"/>
    </row>
    <row r="1822" customFormat="false" ht="15" hidden="false" customHeight="false" outlineLevel="0" collapsed="false">
      <c r="A1822" s="6" t="str">
        <f aca="false">IF('DATA UNIT'!$B93="","",'DATA UNIT'!$B93)</f>
        <v>DA 1550 OA</v>
      </c>
      <c r="B1822" s="6" t="str">
        <f aca="false">IF($A1822="","",INDEX(PlanningItemsList,1))</f>
        <v>PM Check / Reguler Services</v>
      </c>
      <c r="C1822" s="7"/>
      <c r="D1822" s="7"/>
    </row>
    <row r="1823" customFormat="false" ht="15" hidden="false" customHeight="false" outlineLevel="0" collapsed="false">
      <c r="A1823" s="6" t="str">
        <f aca="false">IF('DATA UNIT'!$B93="","",'DATA UNIT'!$B93)</f>
        <v>DA 1550 OA</v>
      </c>
      <c r="B1823" s="6" t="str">
        <f aca="false">IF($A1823="","",INDEX(PlanningItemsList,2))</f>
        <v>Service A</v>
      </c>
      <c r="C1823" s="7"/>
      <c r="D1823" s="7"/>
    </row>
    <row r="1824" customFormat="false" ht="15" hidden="false" customHeight="false" outlineLevel="0" collapsed="false">
      <c r="A1824" s="6" t="str">
        <f aca="false">IF('DATA UNIT'!$B93="","",'DATA UNIT'!$B93)</f>
        <v>DA 1550 OA</v>
      </c>
      <c r="B1824" s="6" t="str">
        <f aca="false">IF($A1824="","",INDEX(PlanningItemsList,3))</f>
        <v>Service B</v>
      </c>
      <c r="C1824" s="7"/>
      <c r="D1824" s="7"/>
    </row>
    <row r="1825" customFormat="false" ht="15" hidden="false" customHeight="false" outlineLevel="0" collapsed="false">
      <c r="A1825" s="6" t="str">
        <f aca="false">IF('DATA UNIT'!$B93="","",'DATA UNIT'!$B93)</f>
        <v>DA 1550 OA</v>
      </c>
      <c r="B1825" s="6" t="str">
        <f aca="false">IF($A1825="","",INDEX(PlanningItemsList,4))</f>
        <v>Brake Pad</v>
      </c>
      <c r="C1825" s="7"/>
      <c r="D1825" s="7"/>
    </row>
    <row r="1826" customFormat="false" ht="15" hidden="false" customHeight="false" outlineLevel="0" collapsed="false">
      <c r="A1826" s="6" t="str">
        <f aca="false">IF('DATA UNIT'!$B93="","",'DATA UNIT'!$B93)</f>
        <v>DA 1550 OA</v>
      </c>
      <c r="B1826" s="6" t="str">
        <f aca="false">IF($A1826="","",INDEX(PlanningItemsList,5))</f>
        <v>Brake Shoe</v>
      </c>
      <c r="C1826" s="7"/>
      <c r="D1826" s="7"/>
    </row>
    <row r="1827" customFormat="false" ht="15" hidden="false" customHeight="false" outlineLevel="0" collapsed="false">
      <c r="A1827" s="6" t="str">
        <f aca="false">IF('DATA UNIT'!$B93="","",'DATA UNIT'!$B93)</f>
        <v>DA 1550 OA</v>
      </c>
      <c r="B1827" s="6" t="str">
        <f aca="false">IF($A1827="","",INDEX(PlanningItemsList,6))</f>
        <v>Accu</v>
      </c>
      <c r="C1827" s="7"/>
      <c r="D1827" s="7"/>
    </row>
    <row r="1828" customFormat="false" ht="15" hidden="false" customHeight="false" outlineLevel="0" collapsed="false">
      <c r="A1828" s="6" t="str">
        <f aca="false">IF('DATA UNIT'!$B93="","",'DATA UNIT'!$B93)</f>
        <v>DA 1550 OA</v>
      </c>
      <c r="B1828" s="6" t="str">
        <f aca="false">IF($A1828="","",INDEX(PlanningItemsList,7))</f>
        <v>Kampas Kopling Set</v>
      </c>
      <c r="C1828" s="7"/>
      <c r="D1828" s="7"/>
    </row>
    <row r="1829" customFormat="false" ht="15" hidden="false" customHeight="false" outlineLevel="0" collapsed="false">
      <c r="A1829" s="6" t="str">
        <f aca="false">IF('DATA UNIT'!$B93="","",'DATA UNIT'!$B93)</f>
        <v>DA 1550 OA</v>
      </c>
      <c r="B1829" s="6" t="str">
        <f aca="false">IF($A1829="","",INDEX(PlanningItemsList,8))</f>
        <v>Wiper Blade</v>
      </c>
      <c r="C1829" s="7"/>
      <c r="D1829" s="7"/>
    </row>
    <row r="1830" customFormat="false" ht="15" hidden="false" customHeight="false" outlineLevel="0" collapsed="false">
      <c r="A1830" s="6" t="str">
        <f aca="false">IF('DATA UNIT'!$B93="","",'DATA UNIT'!$B93)</f>
        <v>DA 1550 OA</v>
      </c>
      <c r="B1830" s="6" t="str">
        <f aca="false">IF($A1830="","",INDEX(PlanningItemsList,9))</f>
        <v>Ban Depan</v>
      </c>
      <c r="C1830" s="7"/>
      <c r="D1830" s="7"/>
    </row>
    <row r="1831" customFormat="false" ht="15" hidden="false" customHeight="false" outlineLevel="0" collapsed="false">
      <c r="A1831" s="6" t="str">
        <f aca="false">IF('DATA UNIT'!$B93="","",'DATA UNIT'!$B93)</f>
        <v>DA 1550 OA</v>
      </c>
      <c r="B1831" s="6" t="str">
        <f aca="false">IF($A1831="","",INDEX(PlanningItemsList,10))</f>
        <v>Ban Belakang</v>
      </c>
      <c r="C1831" s="7"/>
      <c r="D1831" s="7"/>
    </row>
    <row r="1832" customFormat="false" ht="15" hidden="false" customHeight="false" outlineLevel="0" collapsed="false">
      <c r="A1832" s="6" t="str">
        <f aca="false">IF('DATA UNIT'!$B93="","",'DATA UNIT'!$B93)</f>
        <v>DA 1550 OA</v>
      </c>
      <c r="B1832" s="6" t="str">
        <f aca="false">IF($A1832="","",INDEX(PlanningItemsList,11))</f>
        <v>Ban Serep</v>
      </c>
      <c r="C1832" s="7"/>
      <c r="D1832" s="7"/>
    </row>
    <row r="1833" customFormat="false" ht="15" hidden="false" customHeight="false" outlineLevel="0" collapsed="false">
      <c r="A1833" s="6" t="str">
        <f aca="false">IF('DATA UNIT'!$B93="","",'DATA UNIT'!$B93)</f>
        <v>DA 1550 OA</v>
      </c>
      <c r="B1833" s="6" t="str">
        <f aca="false">IF($A1833="","",INDEX(PlanningItemsList,12))</f>
        <v>Greasing</v>
      </c>
      <c r="C1833" s="7"/>
      <c r="D1833" s="7"/>
    </row>
    <row r="1834" customFormat="false" ht="15" hidden="false" customHeight="false" outlineLevel="0" collapsed="false">
      <c r="A1834" s="6" t="str">
        <f aca="false">IF('DATA UNIT'!$B93="","",'DATA UNIT'!$B93)</f>
        <v>DA 1550 OA</v>
      </c>
      <c r="B1834" s="6" t="str">
        <f aca="false">IF($A1834="","",INDEX(PlanningItemsList,13))</f>
        <v>V-Belt</v>
      </c>
      <c r="C1834" s="7"/>
      <c r="D1834" s="7"/>
    </row>
    <row r="1835" customFormat="false" ht="15" hidden="false" customHeight="false" outlineLevel="0" collapsed="false">
      <c r="A1835" s="6" t="str">
        <f aca="false">IF('DATA UNIT'!$B93="","",'DATA UNIT'!$B93)</f>
        <v>DA 1550 OA</v>
      </c>
      <c r="B1835" s="6" t="str">
        <f aca="false">IF($A1835="","",INDEX(PlanningItemsList,14))</f>
        <v>Sarung Jok</v>
      </c>
      <c r="C1835" s="7"/>
      <c r="D1835" s="7"/>
    </row>
    <row r="1836" customFormat="false" ht="15" hidden="false" customHeight="false" outlineLevel="0" collapsed="false">
      <c r="A1836" s="6" t="str">
        <f aca="false">IF('DATA UNIT'!$B93="","",'DATA UNIT'!$B93)</f>
        <v>DA 1550 OA</v>
      </c>
      <c r="B1836" s="6" t="str">
        <f aca="false">IF($A1836="","",INDEX(PlanningItemsList,15))</f>
        <v>Karpet Karet</v>
      </c>
      <c r="C1836" s="7"/>
      <c r="D1836" s="7"/>
    </row>
    <row r="1837" customFormat="false" ht="15" hidden="false" customHeight="false" outlineLevel="0" collapsed="false">
      <c r="A1837" s="6" t="str">
        <f aca="false">IF('DATA UNIT'!$B93="","",'DATA UNIT'!$B93)</f>
        <v>DA 1550 OA</v>
      </c>
      <c r="B1837" s="6" t="str">
        <f aca="false">IF($A1837="","",INDEX(PlanningItemsList,16))</f>
        <v>Karpet Dasar</v>
      </c>
      <c r="C1837" s="7"/>
      <c r="D1837" s="7"/>
    </row>
    <row r="1838" customFormat="false" ht="15" hidden="false" customHeight="false" outlineLevel="0" collapsed="false">
      <c r="A1838" s="6" t="str">
        <f aca="false">IF('DATA UNIT'!$B93="","",'DATA UNIT'!$B93)</f>
        <v>DA 1550 OA</v>
      </c>
      <c r="B1838" s="6" t="str">
        <f aca="false">IF($A1838="","",INDEX(PlanningItemsList,17))</f>
        <v>Flushing Radiator</v>
      </c>
      <c r="C1838" s="7"/>
      <c r="D1838" s="7"/>
    </row>
    <row r="1839" customFormat="false" ht="15" hidden="false" customHeight="false" outlineLevel="0" collapsed="false">
      <c r="A1839" s="6" t="str">
        <f aca="false">IF('DATA UNIT'!$B93="","",'DATA UNIT'!$B93)</f>
        <v>DA 1550 OA</v>
      </c>
      <c r="B1839" s="6" t="str">
        <f aca="false">IF($A1839="","",INDEX(PlanningItemsList,18))</f>
        <v>Flushing Steering</v>
      </c>
      <c r="C1839" s="7"/>
      <c r="D1839" s="7"/>
    </row>
    <row r="1840" customFormat="false" ht="15" hidden="false" customHeight="false" outlineLevel="0" collapsed="false">
      <c r="A1840" s="6" t="str">
        <f aca="false">IF('DATA UNIT'!$B93="","",'DATA UNIT'!$B93)</f>
        <v>DA 1550 OA</v>
      </c>
      <c r="B1840" s="6" t="str">
        <f aca="false">IF($A1840="","",INDEX(PlanningItemsList,19))</f>
        <v>Flushing Injector</v>
      </c>
      <c r="C1840" s="7"/>
      <c r="D1840" s="7"/>
    </row>
    <row r="1841" customFormat="false" ht="15" hidden="false" customHeight="false" outlineLevel="0" collapsed="false">
      <c r="A1841" s="6" t="str">
        <f aca="false">IF('DATA UNIT'!$B93="","",'DATA UNIT'!$B93)</f>
        <v>DA 1550 OA</v>
      </c>
      <c r="B1841" s="6" t="str">
        <f aca="false">IF($A1841="","",INDEX(PlanningItemsList,20))</f>
        <v>Flushing Rem</v>
      </c>
      <c r="C1841" s="7"/>
      <c r="D1841" s="7"/>
    </row>
    <row r="1842" customFormat="false" ht="15" hidden="false" customHeight="false" outlineLevel="0" collapsed="false">
      <c r="A1842" s="6" t="str">
        <f aca="false">IF('DATA UNIT'!$B94="","",'DATA UNIT'!$B94)</f>
        <v>KT 8479 YZ</v>
      </c>
      <c r="B1842" s="6" t="str">
        <f aca="false">IF($A1842="","",INDEX(PlanningItemsList,1))</f>
        <v>PM Check / Reguler Services</v>
      </c>
      <c r="C1842" s="7"/>
      <c r="D1842" s="7"/>
    </row>
    <row r="1843" customFormat="false" ht="15" hidden="false" customHeight="false" outlineLevel="0" collapsed="false">
      <c r="A1843" s="6" t="str">
        <f aca="false">IF('DATA UNIT'!$B94="","",'DATA UNIT'!$B94)</f>
        <v>KT 8479 YZ</v>
      </c>
      <c r="B1843" s="6" t="str">
        <f aca="false">IF($A1843="","",INDEX(PlanningItemsList,2))</f>
        <v>Service A</v>
      </c>
      <c r="C1843" s="7"/>
      <c r="D1843" s="7"/>
    </row>
    <row r="1844" customFormat="false" ht="15" hidden="false" customHeight="false" outlineLevel="0" collapsed="false">
      <c r="A1844" s="6" t="str">
        <f aca="false">IF('DATA UNIT'!$B94="","",'DATA UNIT'!$B94)</f>
        <v>KT 8479 YZ</v>
      </c>
      <c r="B1844" s="6" t="str">
        <f aca="false">IF($A1844="","",INDEX(PlanningItemsList,3))</f>
        <v>Service B</v>
      </c>
      <c r="C1844" s="7"/>
      <c r="D1844" s="7"/>
    </row>
    <row r="1845" customFormat="false" ht="15" hidden="false" customHeight="false" outlineLevel="0" collapsed="false">
      <c r="A1845" s="6" t="str">
        <f aca="false">IF('DATA UNIT'!$B94="","",'DATA UNIT'!$B94)</f>
        <v>KT 8479 YZ</v>
      </c>
      <c r="B1845" s="6" t="str">
        <f aca="false">IF($A1845="","",INDEX(PlanningItemsList,4))</f>
        <v>Brake Pad</v>
      </c>
      <c r="C1845" s="7"/>
      <c r="D1845" s="7"/>
    </row>
    <row r="1846" customFormat="false" ht="15" hidden="false" customHeight="false" outlineLevel="0" collapsed="false">
      <c r="A1846" s="6" t="str">
        <f aca="false">IF('DATA UNIT'!$B94="","",'DATA UNIT'!$B94)</f>
        <v>KT 8479 YZ</v>
      </c>
      <c r="B1846" s="6" t="str">
        <f aca="false">IF($A1846="","",INDEX(PlanningItemsList,5))</f>
        <v>Brake Shoe</v>
      </c>
      <c r="C1846" s="7"/>
      <c r="D1846" s="7"/>
    </row>
    <row r="1847" customFormat="false" ht="15" hidden="false" customHeight="false" outlineLevel="0" collapsed="false">
      <c r="A1847" s="6" t="str">
        <f aca="false">IF('DATA UNIT'!$B94="","",'DATA UNIT'!$B94)</f>
        <v>KT 8479 YZ</v>
      </c>
      <c r="B1847" s="6" t="str">
        <f aca="false">IF($A1847="","",INDEX(PlanningItemsList,6))</f>
        <v>Accu</v>
      </c>
      <c r="C1847" s="7"/>
      <c r="D1847" s="7"/>
    </row>
    <row r="1848" customFormat="false" ht="15" hidden="false" customHeight="false" outlineLevel="0" collapsed="false">
      <c r="A1848" s="6" t="str">
        <f aca="false">IF('DATA UNIT'!$B94="","",'DATA UNIT'!$B94)</f>
        <v>KT 8479 YZ</v>
      </c>
      <c r="B1848" s="6" t="str">
        <f aca="false">IF($A1848="","",INDEX(PlanningItemsList,7))</f>
        <v>Kampas Kopling Set</v>
      </c>
      <c r="C1848" s="7"/>
      <c r="D1848" s="7"/>
    </row>
    <row r="1849" customFormat="false" ht="15" hidden="false" customHeight="false" outlineLevel="0" collapsed="false">
      <c r="A1849" s="6" t="str">
        <f aca="false">IF('DATA UNIT'!$B94="","",'DATA UNIT'!$B94)</f>
        <v>KT 8479 YZ</v>
      </c>
      <c r="B1849" s="6" t="str">
        <f aca="false">IF($A1849="","",INDEX(PlanningItemsList,8))</f>
        <v>Wiper Blade</v>
      </c>
      <c r="C1849" s="7"/>
      <c r="D1849" s="7"/>
    </row>
    <row r="1850" customFormat="false" ht="15" hidden="false" customHeight="false" outlineLevel="0" collapsed="false">
      <c r="A1850" s="6" t="str">
        <f aca="false">IF('DATA UNIT'!$B94="","",'DATA UNIT'!$B94)</f>
        <v>KT 8479 YZ</v>
      </c>
      <c r="B1850" s="6" t="str">
        <f aca="false">IF($A1850="","",INDEX(PlanningItemsList,9))</f>
        <v>Ban Depan</v>
      </c>
      <c r="C1850" s="7"/>
      <c r="D1850" s="7"/>
    </row>
    <row r="1851" customFormat="false" ht="15" hidden="false" customHeight="false" outlineLevel="0" collapsed="false">
      <c r="A1851" s="6" t="str">
        <f aca="false">IF('DATA UNIT'!$B94="","",'DATA UNIT'!$B94)</f>
        <v>KT 8479 YZ</v>
      </c>
      <c r="B1851" s="6" t="str">
        <f aca="false">IF($A1851="","",INDEX(PlanningItemsList,10))</f>
        <v>Ban Belakang</v>
      </c>
      <c r="C1851" s="7"/>
      <c r="D1851" s="7"/>
    </row>
    <row r="1852" customFormat="false" ht="15" hidden="false" customHeight="false" outlineLevel="0" collapsed="false">
      <c r="A1852" s="6" t="str">
        <f aca="false">IF('DATA UNIT'!$B94="","",'DATA UNIT'!$B94)</f>
        <v>KT 8479 YZ</v>
      </c>
      <c r="B1852" s="6" t="str">
        <f aca="false">IF($A1852="","",INDEX(PlanningItemsList,11))</f>
        <v>Ban Serep</v>
      </c>
      <c r="C1852" s="7"/>
      <c r="D1852" s="7"/>
    </row>
    <row r="1853" customFormat="false" ht="15" hidden="false" customHeight="false" outlineLevel="0" collapsed="false">
      <c r="A1853" s="6" t="str">
        <f aca="false">IF('DATA UNIT'!$B94="","",'DATA UNIT'!$B94)</f>
        <v>KT 8479 YZ</v>
      </c>
      <c r="B1853" s="6" t="str">
        <f aca="false">IF($A1853="","",INDEX(PlanningItemsList,12))</f>
        <v>Greasing</v>
      </c>
      <c r="C1853" s="7"/>
      <c r="D1853" s="7"/>
    </row>
    <row r="1854" customFormat="false" ht="15" hidden="false" customHeight="false" outlineLevel="0" collapsed="false">
      <c r="A1854" s="6" t="str">
        <f aca="false">IF('DATA UNIT'!$B94="","",'DATA UNIT'!$B94)</f>
        <v>KT 8479 YZ</v>
      </c>
      <c r="B1854" s="6" t="str">
        <f aca="false">IF($A1854="","",INDEX(PlanningItemsList,13))</f>
        <v>V-Belt</v>
      </c>
      <c r="C1854" s="7"/>
      <c r="D1854" s="7"/>
    </row>
    <row r="1855" customFormat="false" ht="15" hidden="false" customHeight="false" outlineLevel="0" collapsed="false">
      <c r="A1855" s="6" t="str">
        <f aca="false">IF('DATA UNIT'!$B94="","",'DATA UNIT'!$B94)</f>
        <v>KT 8479 YZ</v>
      </c>
      <c r="B1855" s="6" t="str">
        <f aca="false">IF($A1855="","",INDEX(PlanningItemsList,14))</f>
        <v>Sarung Jok</v>
      </c>
      <c r="C1855" s="7"/>
      <c r="D1855" s="7"/>
    </row>
    <row r="1856" customFormat="false" ht="15" hidden="false" customHeight="false" outlineLevel="0" collapsed="false">
      <c r="A1856" s="6" t="str">
        <f aca="false">IF('DATA UNIT'!$B94="","",'DATA UNIT'!$B94)</f>
        <v>KT 8479 YZ</v>
      </c>
      <c r="B1856" s="6" t="str">
        <f aca="false">IF($A1856="","",INDEX(PlanningItemsList,15))</f>
        <v>Karpet Karet</v>
      </c>
      <c r="C1856" s="7"/>
      <c r="D1856" s="7"/>
    </row>
    <row r="1857" customFormat="false" ht="15" hidden="false" customHeight="false" outlineLevel="0" collapsed="false">
      <c r="A1857" s="6" t="str">
        <f aca="false">IF('DATA UNIT'!$B94="","",'DATA UNIT'!$B94)</f>
        <v>KT 8479 YZ</v>
      </c>
      <c r="B1857" s="6" t="str">
        <f aca="false">IF($A1857="","",INDEX(PlanningItemsList,16))</f>
        <v>Karpet Dasar</v>
      </c>
      <c r="C1857" s="7"/>
      <c r="D1857" s="7"/>
    </row>
    <row r="1858" customFormat="false" ht="15" hidden="false" customHeight="false" outlineLevel="0" collapsed="false">
      <c r="A1858" s="6" t="str">
        <f aca="false">IF('DATA UNIT'!$B94="","",'DATA UNIT'!$B94)</f>
        <v>KT 8479 YZ</v>
      </c>
      <c r="B1858" s="6" t="str">
        <f aca="false">IF($A1858="","",INDEX(PlanningItemsList,17))</f>
        <v>Flushing Radiator</v>
      </c>
      <c r="C1858" s="7"/>
      <c r="D1858" s="7"/>
    </row>
    <row r="1859" customFormat="false" ht="15" hidden="false" customHeight="false" outlineLevel="0" collapsed="false">
      <c r="A1859" s="6" t="str">
        <f aca="false">IF('DATA UNIT'!$B94="","",'DATA UNIT'!$B94)</f>
        <v>KT 8479 YZ</v>
      </c>
      <c r="B1859" s="6" t="str">
        <f aca="false">IF($A1859="","",INDEX(PlanningItemsList,18))</f>
        <v>Flushing Steering</v>
      </c>
      <c r="C1859" s="7"/>
      <c r="D1859" s="7"/>
    </row>
    <row r="1860" customFormat="false" ht="15" hidden="false" customHeight="false" outlineLevel="0" collapsed="false">
      <c r="A1860" s="6" t="str">
        <f aca="false">IF('DATA UNIT'!$B94="","",'DATA UNIT'!$B94)</f>
        <v>KT 8479 YZ</v>
      </c>
      <c r="B1860" s="6" t="str">
        <f aca="false">IF($A1860="","",INDEX(PlanningItemsList,19))</f>
        <v>Flushing Injector</v>
      </c>
      <c r="C1860" s="7"/>
      <c r="D1860" s="7"/>
    </row>
    <row r="1861" customFormat="false" ht="15" hidden="false" customHeight="false" outlineLevel="0" collapsed="false">
      <c r="A1861" s="6" t="str">
        <f aca="false">IF('DATA UNIT'!$B94="","",'DATA UNIT'!$B94)</f>
        <v>KT 8479 YZ</v>
      </c>
      <c r="B1861" s="6" t="str">
        <f aca="false">IF($A1861="","",INDEX(PlanningItemsList,20))</f>
        <v>Flushing Rem</v>
      </c>
      <c r="C1861" s="7"/>
      <c r="D1861" s="7"/>
    </row>
    <row r="1862" customFormat="false" ht="15" hidden="false" customHeight="false" outlineLevel="0" collapsed="false">
      <c r="A1862" s="6" t="str">
        <f aca="false">IF('DATA UNIT'!$B95="","",'DATA UNIT'!$B95)</f>
        <v>KT 8493 ZI</v>
      </c>
      <c r="B1862" s="6" t="str">
        <f aca="false">IF($A1862="","",INDEX(PlanningItemsList,1))</f>
        <v>PM Check / Reguler Services</v>
      </c>
      <c r="C1862" s="7"/>
      <c r="D1862" s="7"/>
    </row>
    <row r="1863" customFormat="false" ht="15" hidden="false" customHeight="false" outlineLevel="0" collapsed="false">
      <c r="A1863" s="6" t="str">
        <f aca="false">IF('DATA UNIT'!$B95="","",'DATA UNIT'!$B95)</f>
        <v>KT 8493 ZI</v>
      </c>
      <c r="B1863" s="6" t="str">
        <f aca="false">IF($A1863="","",INDEX(PlanningItemsList,2))</f>
        <v>Service A</v>
      </c>
      <c r="C1863" s="7"/>
      <c r="D1863" s="7"/>
    </row>
    <row r="1864" customFormat="false" ht="15" hidden="false" customHeight="false" outlineLevel="0" collapsed="false">
      <c r="A1864" s="6" t="str">
        <f aca="false">IF('DATA UNIT'!$B95="","",'DATA UNIT'!$B95)</f>
        <v>KT 8493 ZI</v>
      </c>
      <c r="B1864" s="6" t="str">
        <f aca="false">IF($A1864="","",INDEX(PlanningItemsList,3))</f>
        <v>Service B</v>
      </c>
      <c r="C1864" s="7"/>
      <c r="D1864" s="7"/>
    </row>
    <row r="1865" customFormat="false" ht="15" hidden="false" customHeight="false" outlineLevel="0" collapsed="false">
      <c r="A1865" s="6" t="str">
        <f aca="false">IF('DATA UNIT'!$B95="","",'DATA UNIT'!$B95)</f>
        <v>KT 8493 ZI</v>
      </c>
      <c r="B1865" s="6" t="str">
        <f aca="false">IF($A1865="","",INDEX(PlanningItemsList,4))</f>
        <v>Brake Pad</v>
      </c>
      <c r="C1865" s="7"/>
      <c r="D1865" s="7"/>
    </row>
    <row r="1866" customFormat="false" ht="15" hidden="false" customHeight="false" outlineLevel="0" collapsed="false">
      <c r="A1866" s="6" t="str">
        <f aca="false">IF('DATA UNIT'!$B95="","",'DATA UNIT'!$B95)</f>
        <v>KT 8493 ZI</v>
      </c>
      <c r="B1866" s="6" t="str">
        <f aca="false">IF($A1866="","",INDEX(PlanningItemsList,5))</f>
        <v>Brake Shoe</v>
      </c>
      <c r="C1866" s="7"/>
      <c r="D1866" s="7"/>
    </row>
    <row r="1867" customFormat="false" ht="15" hidden="false" customHeight="false" outlineLevel="0" collapsed="false">
      <c r="A1867" s="6" t="str">
        <f aca="false">IF('DATA UNIT'!$B95="","",'DATA UNIT'!$B95)</f>
        <v>KT 8493 ZI</v>
      </c>
      <c r="B1867" s="6" t="str">
        <f aca="false">IF($A1867="","",INDEX(PlanningItemsList,6))</f>
        <v>Accu</v>
      </c>
      <c r="C1867" s="7"/>
      <c r="D1867" s="7"/>
    </row>
    <row r="1868" customFormat="false" ht="15" hidden="false" customHeight="false" outlineLevel="0" collapsed="false">
      <c r="A1868" s="6" t="str">
        <f aca="false">IF('DATA UNIT'!$B95="","",'DATA UNIT'!$B95)</f>
        <v>KT 8493 ZI</v>
      </c>
      <c r="B1868" s="6" t="str">
        <f aca="false">IF($A1868="","",INDEX(PlanningItemsList,7))</f>
        <v>Kampas Kopling Set</v>
      </c>
      <c r="C1868" s="7"/>
      <c r="D1868" s="7"/>
    </row>
    <row r="1869" customFormat="false" ht="15" hidden="false" customHeight="false" outlineLevel="0" collapsed="false">
      <c r="A1869" s="6" t="str">
        <f aca="false">IF('DATA UNIT'!$B95="","",'DATA UNIT'!$B95)</f>
        <v>KT 8493 ZI</v>
      </c>
      <c r="B1869" s="6" t="str">
        <f aca="false">IF($A1869="","",INDEX(PlanningItemsList,8))</f>
        <v>Wiper Blade</v>
      </c>
      <c r="C1869" s="7"/>
      <c r="D1869" s="7"/>
    </row>
    <row r="1870" customFormat="false" ht="15" hidden="false" customHeight="false" outlineLevel="0" collapsed="false">
      <c r="A1870" s="6" t="str">
        <f aca="false">IF('DATA UNIT'!$B95="","",'DATA UNIT'!$B95)</f>
        <v>KT 8493 ZI</v>
      </c>
      <c r="B1870" s="6" t="str">
        <f aca="false">IF($A1870="","",INDEX(PlanningItemsList,9))</f>
        <v>Ban Depan</v>
      </c>
      <c r="C1870" s="7"/>
      <c r="D1870" s="7"/>
    </row>
    <row r="1871" customFormat="false" ht="15" hidden="false" customHeight="false" outlineLevel="0" collapsed="false">
      <c r="A1871" s="6" t="str">
        <f aca="false">IF('DATA UNIT'!$B95="","",'DATA UNIT'!$B95)</f>
        <v>KT 8493 ZI</v>
      </c>
      <c r="B1871" s="6" t="str">
        <f aca="false">IF($A1871="","",INDEX(PlanningItemsList,10))</f>
        <v>Ban Belakang</v>
      </c>
      <c r="C1871" s="7"/>
      <c r="D1871" s="7"/>
    </row>
    <row r="1872" customFormat="false" ht="15" hidden="false" customHeight="false" outlineLevel="0" collapsed="false">
      <c r="A1872" s="6" t="str">
        <f aca="false">IF('DATA UNIT'!$B95="","",'DATA UNIT'!$B95)</f>
        <v>KT 8493 ZI</v>
      </c>
      <c r="B1872" s="6" t="str">
        <f aca="false">IF($A1872="","",INDEX(PlanningItemsList,11))</f>
        <v>Ban Serep</v>
      </c>
      <c r="C1872" s="7"/>
      <c r="D1872" s="7"/>
    </row>
    <row r="1873" customFormat="false" ht="15" hidden="false" customHeight="false" outlineLevel="0" collapsed="false">
      <c r="A1873" s="6" t="str">
        <f aca="false">IF('DATA UNIT'!$B95="","",'DATA UNIT'!$B95)</f>
        <v>KT 8493 ZI</v>
      </c>
      <c r="B1873" s="6" t="str">
        <f aca="false">IF($A1873="","",INDEX(PlanningItemsList,12))</f>
        <v>Greasing</v>
      </c>
      <c r="C1873" s="7"/>
      <c r="D1873" s="7"/>
    </row>
    <row r="1874" customFormat="false" ht="15" hidden="false" customHeight="false" outlineLevel="0" collapsed="false">
      <c r="A1874" s="6" t="str">
        <f aca="false">IF('DATA UNIT'!$B95="","",'DATA UNIT'!$B95)</f>
        <v>KT 8493 ZI</v>
      </c>
      <c r="B1874" s="6" t="str">
        <f aca="false">IF($A1874="","",INDEX(PlanningItemsList,13))</f>
        <v>V-Belt</v>
      </c>
      <c r="C1874" s="7"/>
      <c r="D1874" s="7"/>
    </row>
    <row r="1875" customFormat="false" ht="15" hidden="false" customHeight="false" outlineLevel="0" collapsed="false">
      <c r="A1875" s="6" t="str">
        <f aca="false">IF('DATA UNIT'!$B95="","",'DATA UNIT'!$B95)</f>
        <v>KT 8493 ZI</v>
      </c>
      <c r="B1875" s="6" t="str">
        <f aca="false">IF($A1875="","",INDEX(PlanningItemsList,14))</f>
        <v>Sarung Jok</v>
      </c>
      <c r="C1875" s="7"/>
      <c r="D1875" s="7"/>
    </row>
    <row r="1876" customFormat="false" ht="15" hidden="false" customHeight="false" outlineLevel="0" collapsed="false">
      <c r="A1876" s="6" t="str">
        <f aca="false">IF('DATA UNIT'!$B95="","",'DATA UNIT'!$B95)</f>
        <v>KT 8493 ZI</v>
      </c>
      <c r="B1876" s="6" t="str">
        <f aca="false">IF($A1876="","",INDEX(PlanningItemsList,15))</f>
        <v>Karpet Karet</v>
      </c>
      <c r="C1876" s="7"/>
      <c r="D1876" s="7"/>
    </row>
    <row r="1877" customFormat="false" ht="15" hidden="false" customHeight="false" outlineLevel="0" collapsed="false">
      <c r="A1877" s="6" t="str">
        <f aca="false">IF('DATA UNIT'!$B95="","",'DATA UNIT'!$B95)</f>
        <v>KT 8493 ZI</v>
      </c>
      <c r="B1877" s="6" t="str">
        <f aca="false">IF($A1877="","",INDEX(PlanningItemsList,16))</f>
        <v>Karpet Dasar</v>
      </c>
      <c r="C1877" s="7"/>
      <c r="D1877" s="7"/>
    </row>
    <row r="1878" customFormat="false" ht="15" hidden="false" customHeight="false" outlineLevel="0" collapsed="false">
      <c r="A1878" s="6" t="str">
        <f aca="false">IF('DATA UNIT'!$B95="","",'DATA UNIT'!$B95)</f>
        <v>KT 8493 ZI</v>
      </c>
      <c r="B1878" s="6" t="str">
        <f aca="false">IF($A1878="","",INDEX(PlanningItemsList,17))</f>
        <v>Flushing Radiator</v>
      </c>
      <c r="C1878" s="7"/>
      <c r="D1878" s="7"/>
    </row>
    <row r="1879" customFormat="false" ht="15" hidden="false" customHeight="false" outlineLevel="0" collapsed="false">
      <c r="A1879" s="6" t="str">
        <f aca="false">IF('DATA UNIT'!$B95="","",'DATA UNIT'!$B95)</f>
        <v>KT 8493 ZI</v>
      </c>
      <c r="B1879" s="6" t="str">
        <f aca="false">IF($A1879="","",INDEX(PlanningItemsList,18))</f>
        <v>Flushing Steering</v>
      </c>
      <c r="C1879" s="7"/>
      <c r="D1879" s="7"/>
    </row>
    <row r="1880" customFormat="false" ht="15" hidden="false" customHeight="false" outlineLevel="0" collapsed="false">
      <c r="A1880" s="6" t="str">
        <f aca="false">IF('DATA UNIT'!$B95="","",'DATA UNIT'!$B95)</f>
        <v>KT 8493 ZI</v>
      </c>
      <c r="B1880" s="6" t="str">
        <f aca="false">IF($A1880="","",INDEX(PlanningItemsList,19))</f>
        <v>Flushing Injector</v>
      </c>
      <c r="C1880" s="7"/>
      <c r="D1880" s="7"/>
    </row>
    <row r="1881" customFormat="false" ht="15" hidden="false" customHeight="false" outlineLevel="0" collapsed="false">
      <c r="A1881" s="6" t="str">
        <f aca="false">IF('DATA UNIT'!$B95="","",'DATA UNIT'!$B95)</f>
        <v>KT 8493 ZI</v>
      </c>
      <c r="B1881" s="6" t="str">
        <f aca="false">IF($A1881="","",INDEX(PlanningItemsList,20))</f>
        <v>Flushing Rem</v>
      </c>
      <c r="C1881" s="7"/>
      <c r="D1881" s="7"/>
    </row>
    <row r="1882" customFormat="false" ht="15" hidden="false" customHeight="false" outlineLevel="0" collapsed="false">
      <c r="A1882" s="6" t="str">
        <f aca="false">IF('DATA UNIT'!$B96="","",'DATA UNIT'!$B96)</f>
        <v>KT 1492 YY</v>
      </c>
      <c r="B1882" s="6" t="str">
        <f aca="false">IF($A1882="","",INDEX(PlanningItemsList,1))</f>
        <v>PM Check / Reguler Services</v>
      </c>
      <c r="C1882" s="7"/>
      <c r="D1882" s="7"/>
    </row>
    <row r="1883" customFormat="false" ht="15" hidden="false" customHeight="false" outlineLevel="0" collapsed="false">
      <c r="A1883" s="6" t="str">
        <f aca="false">IF('DATA UNIT'!$B96="","",'DATA UNIT'!$B96)</f>
        <v>KT 1492 YY</v>
      </c>
      <c r="B1883" s="6" t="str">
        <f aca="false">IF($A1883="","",INDEX(PlanningItemsList,2))</f>
        <v>Service A</v>
      </c>
      <c r="C1883" s="7"/>
      <c r="D1883" s="7"/>
    </row>
    <row r="1884" customFormat="false" ht="15" hidden="false" customHeight="false" outlineLevel="0" collapsed="false">
      <c r="A1884" s="6" t="str">
        <f aca="false">IF('DATA UNIT'!$B96="","",'DATA UNIT'!$B96)</f>
        <v>KT 1492 YY</v>
      </c>
      <c r="B1884" s="6" t="str">
        <f aca="false">IF($A1884="","",INDEX(PlanningItemsList,3))</f>
        <v>Service B</v>
      </c>
      <c r="C1884" s="7"/>
      <c r="D1884" s="7"/>
    </row>
    <row r="1885" customFormat="false" ht="15" hidden="false" customHeight="false" outlineLevel="0" collapsed="false">
      <c r="A1885" s="6" t="str">
        <f aca="false">IF('DATA UNIT'!$B96="","",'DATA UNIT'!$B96)</f>
        <v>KT 1492 YY</v>
      </c>
      <c r="B1885" s="6" t="str">
        <f aca="false">IF($A1885="","",INDEX(PlanningItemsList,4))</f>
        <v>Brake Pad</v>
      </c>
      <c r="C1885" s="7"/>
      <c r="D1885" s="7"/>
    </row>
    <row r="1886" customFormat="false" ht="15" hidden="false" customHeight="false" outlineLevel="0" collapsed="false">
      <c r="A1886" s="6" t="str">
        <f aca="false">IF('DATA UNIT'!$B96="","",'DATA UNIT'!$B96)</f>
        <v>KT 1492 YY</v>
      </c>
      <c r="B1886" s="6" t="str">
        <f aca="false">IF($A1886="","",INDEX(PlanningItemsList,5))</f>
        <v>Brake Shoe</v>
      </c>
      <c r="C1886" s="7"/>
      <c r="D1886" s="7"/>
    </row>
    <row r="1887" customFormat="false" ht="15" hidden="false" customHeight="false" outlineLevel="0" collapsed="false">
      <c r="A1887" s="6" t="str">
        <f aca="false">IF('DATA UNIT'!$B96="","",'DATA UNIT'!$B96)</f>
        <v>KT 1492 YY</v>
      </c>
      <c r="B1887" s="6" t="str">
        <f aca="false">IF($A1887="","",INDEX(PlanningItemsList,6))</f>
        <v>Accu</v>
      </c>
      <c r="C1887" s="7"/>
      <c r="D1887" s="7"/>
    </row>
    <row r="1888" customFormat="false" ht="15" hidden="false" customHeight="false" outlineLevel="0" collapsed="false">
      <c r="A1888" s="6" t="str">
        <f aca="false">IF('DATA UNIT'!$B96="","",'DATA UNIT'!$B96)</f>
        <v>KT 1492 YY</v>
      </c>
      <c r="B1888" s="6" t="str">
        <f aca="false">IF($A1888="","",INDEX(PlanningItemsList,7))</f>
        <v>Kampas Kopling Set</v>
      </c>
      <c r="C1888" s="7"/>
      <c r="D1888" s="7"/>
    </row>
    <row r="1889" customFormat="false" ht="15" hidden="false" customHeight="false" outlineLevel="0" collapsed="false">
      <c r="A1889" s="6" t="str">
        <f aca="false">IF('DATA UNIT'!$B96="","",'DATA UNIT'!$B96)</f>
        <v>KT 1492 YY</v>
      </c>
      <c r="B1889" s="6" t="str">
        <f aca="false">IF($A1889="","",INDEX(PlanningItemsList,8))</f>
        <v>Wiper Blade</v>
      </c>
      <c r="C1889" s="7"/>
      <c r="D1889" s="7"/>
    </row>
    <row r="1890" customFormat="false" ht="15" hidden="false" customHeight="false" outlineLevel="0" collapsed="false">
      <c r="A1890" s="6" t="str">
        <f aca="false">IF('DATA UNIT'!$B96="","",'DATA UNIT'!$B96)</f>
        <v>KT 1492 YY</v>
      </c>
      <c r="B1890" s="6" t="str">
        <f aca="false">IF($A1890="","",INDEX(PlanningItemsList,9))</f>
        <v>Ban Depan</v>
      </c>
      <c r="C1890" s="7"/>
      <c r="D1890" s="7"/>
    </row>
    <row r="1891" customFormat="false" ht="15" hidden="false" customHeight="false" outlineLevel="0" collapsed="false">
      <c r="A1891" s="6" t="str">
        <f aca="false">IF('DATA UNIT'!$B96="","",'DATA UNIT'!$B96)</f>
        <v>KT 1492 YY</v>
      </c>
      <c r="B1891" s="6" t="str">
        <f aca="false">IF($A1891="","",INDEX(PlanningItemsList,10))</f>
        <v>Ban Belakang</v>
      </c>
      <c r="C1891" s="7"/>
      <c r="D1891" s="7"/>
    </row>
    <row r="1892" customFormat="false" ht="15" hidden="false" customHeight="false" outlineLevel="0" collapsed="false">
      <c r="A1892" s="6" t="str">
        <f aca="false">IF('DATA UNIT'!$B96="","",'DATA UNIT'!$B96)</f>
        <v>KT 1492 YY</v>
      </c>
      <c r="B1892" s="6" t="str">
        <f aca="false">IF($A1892="","",INDEX(PlanningItemsList,11))</f>
        <v>Ban Serep</v>
      </c>
      <c r="C1892" s="7"/>
      <c r="D1892" s="7"/>
    </row>
    <row r="1893" customFormat="false" ht="15" hidden="false" customHeight="false" outlineLevel="0" collapsed="false">
      <c r="A1893" s="6" t="str">
        <f aca="false">IF('DATA UNIT'!$B96="","",'DATA UNIT'!$B96)</f>
        <v>KT 1492 YY</v>
      </c>
      <c r="B1893" s="6" t="str">
        <f aca="false">IF($A1893="","",INDEX(PlanningItemsList,12))</f>
        <v>Greasing</v>
      </c>
      <c r="C1893" s="7"/>
      <c r="D1893" s="7"/>
    </row>
    <row r="1894" customFormat="false" ht="15" hidden="false" customHeight="false" outlineLevel="0" collapsed="false">
      <c r="A1894" s="6" t="str">
        <f aca="false">IF('DATA UNIT'!$B96="","",'DATA UNIT'!$B96)</f>
        <v>KT 1492 YY</v>
      </c>
      <c r="B1894" s="6" t="str">
        <f aca="false">IF($A1894="","",INDEX(PlanningItemsList,13))</f>
        <v>V-Belt</v>
      </c>
      <c r="C1894" s="7"/>
      <c r="D1894" s="7"/>
    </row>
    <row r="1895" customFormat="false" ht="15" hidden="false" customHeight="false" outlineLevel="0" collapsed="false">
      <c r="A1895" s="6" t="str">
        <f aca="false">IF('DATA UNIT'!$B96="","",'DATA UNIT'!$B96)</f>
        <v>KT 1492 YY</v>
      </c>
      <c r="B1895" s="6" t="str">
        <f aca="false">IF($A1895="","",INDEX(PlanningItemsList,14))</f>
        <v>Sarung Jok</v>
      </c>
      <c r="C1895" s="7"/>
      <c r="D1895" s="7"/>
    </row>
    <row r="1896" customFormat="false" ht="15" hidden="false" customHeight="false" outlineLevel="0" collapsed="false">
      <c r="A1896" s="6" t="str">
        <f aca="false">IF('DATA UNIT'!$B96="","",'DATA UNIT'!$B96)</f>
        <v>KT 1492 YY</v>
      </c>
      <c r="B1896" s="6" t="str">
        <f aca="false">IF($A1896="","",INDEX(PlanningItemsList,15))</f>
        <v>Karpet Karet</v>
      </c>
      <c r="C1896" s="7"/>
      <c r="D1896" s="7"/>
    </row>
    <row r="1897" customFormat="false" ht="15" hidden="false" customHeight="false" outlineLevel="0" collapsed="false">
      <c r="A1897" s="6" t="str">
        <f aca="false">IF('DATA UNIT'!$B96="","",'DATA UNIT'!$B96)</f>
        <v>KT 1492 YY</v>
      </c>
      <c r="B1897" s="6" t="str">
        <f aca="false">IF($A1897="","",INDEX(PlanningItemsList,16))</f>
        <v>Karpet Dasar</v>
      </c>
      <c r="C1897" s="7"/>
      <c r="D1897" s="7"/>
    </row>
    <row r="1898" customFormat="false" ht="15" hidden="false" customHeight="false" outlineLevel="0" collapsed="false">
      <c r="A1898" s="6" t="str">
        <f aca="false">IF('DATA UNIT'!$B96="","",'DATA UNIT'!$B96)</f>
        <v>KT 1492 YY</v>
      </c>
      <c r="B1898" s="6" t="str">
        <f aca="false">IF($A1898="","",INDEX(PlanningItemsList,17))</f>
        <v>Flushing Radiator</v>
      </c>
      <c r="C1898" s="7"/>
      <c r="D1898" s="7"/>
    </row>
    <row r="1899" customFormat="false" ht="15" hidden="false" customHeight="false" outlineLevel="0" collapsed="false">
      <c r="A1899" s="6" t="str">
        <f aca="false">IF('DATA UNIT'!$B96="","",'DATA UNIT'!$B96)</f>
        <v>KT 1492 YY</v>
      </c>
      <c r="B1899" s="6" t="str">
        <f aca="false">IF($A1899="","",INDEX(PlanningItemsList,18))</f>
        <v>Flushing Steering</v>
      </c>
      <c r="C1899" s="7"/>
      <c r="D1899" s="7"/>
    </row>
    <row r="1900" customFormat="false" ht="15" hidden="false" customHeight="false" outlineLevel="0" collapsed="false">
      <c r="A1900" s="6" t="str">
        <f aca="false">IF('DATA UNIT'!$B96="","",'DATA UNIT'!$B96)</f>
        <v>KT 1492 YY</v>
      </c>
      <c r="B1900" s="6" t="str">
        <f aca="false">IF($A1900="","",INDEX(PlanningItemsList,19))</f>
        <v>Flushing Injector</v>
      </c>
      <c r="C1900" s="7"/>
      <c r="D1900" s="7"/>
    </row>
    <row r="1901" customFormat="false" ht="15" hidden="false" customHeight="false" outlineLevel="0" collapsed="false">
      <c r="A1901" s="6" t="str">
        <f aca="false">IF('DATA UNIT'!$B96="","",'DATA UNIT'!$B96)</f>
        <v>KT 1492 YY</v>
      </c>
      <c r="B1901" s="6" t="str">
        <f aca="false">IF($A1901="","",INDEX(PlanningItemsList,20))</f>
        <v>Flushing Rem</v>
      </c>
      <c r="C1901" s="7"/>
      <c r="D1901" s="7"/>
    </row>
    <row r="1902" customFormat="false" ht="15" hidden="false" customHeight="false" outlineLevel="0" collapsed="false">
      <c r="A1902" s="6" t="str">
        <f aca="false">IF('DATA UNIT'!$B97="","",'DATA UNIT'!$B97)</f>
        <v>KT 8621 YY</v>
      </c>
      <c r="B1902" s="6" t="str">
        <f aca="false">IF($A1902="","",INDEX(PlanningItemsList,1))</f>
        <v>PM Check / Reguler Services</v>
      </c>
      <c r="C1902" s="7"/>
      <c r="D1902" s="7"/>
    </row>
    <row r="1903" customFormat="false" ht="15" hidden="false" customHeight="false" outlineLevel="0" collapsed="false">
      <c r="A1903" s="6" t="str">
        <f aca="false">IF('DATA UNIT'!$B97="","",'DATA UNIT'!$B97)</f>
        <v>KT 8621 YY</v>
      </c>
      <c r="B1903" s="6" t="str">
        <f aca="false">IF($A1903="","",INDEX(PlanningItemsList,2))</f>
        <v>Service A</v>
      </c>
      <c r="C1903" s="7"/>
      <c r="D1903" s="7"/>
    </row>
    <row r="1904" customFormat="false" ht="15" hidden="false" customHeight="false" outlineLevel="0" collapsed="false">
      <c r="A1904" s="6" t="str">
        <f aca="false">IF('DATA UNIT'!$B97="","",'DATA UNIT'!$B97)</f>
        <v>KT 8621 YY</v>
      </c>
      <c r="B1904" s="6" t="str">
        <f aca="false">IF($A1904="","",INDEX(PlanningItemsList,3))</f>
        <v>Service B</v>
      </c>
      <c r="C1904" s="7"/>
      <c r="D1904" s="7"/>
    </row>
    <row r="1905" customFormat="false" ht="15" hidden="false" customHeight="false" outlineLevel="0" collapsed="false">
      <c r="A1905" s="6" t="str">
        <f aca="false">IF('DATA UNIT'!$B97="","",'DATA UNIT'!$B97)</f>
        <v>KT 8621 YY</v>
      </c>
      <c r="B1905" s="6" t="str">
        <f aca="false">IF($A1905="","",INDEX(PlanningItemsList,4))</f>
        <v>Brake Pad</v>
      </c>
      <c r="C1905" s="7"/>
      <c r="D1905" s="7"/>
    </row>
    <row r="1906" customFormat="false" ht="15" hidden="false" customHeight="false" outlineLevel="0" collapsed="false">
      <c r="A1906" s="6" t="str">
        <f aca="false">IF('DATA UNIT'!$B97="","",'DATA UNIT'!$B97)</f>
        <v>KT 8621 YY</v>
      </c>
      <c r="B1906" s="6" t="str">
        <f aca="false">IF($A1906="","",INDEX(PlanningItemsList,5))</f>
        <v>Brake Shoe</v>
      </c>
      <c r="C1906" s="7"/>
      <c r="D1906" s="7"/>
    </row>
    <row r="1907" customFormat="false" ht="15" hidden="false" customHeight="false" outlineLevel="0" collapsed="false">
      <c r="A1907" s="6" t="str">
        <f aca="false">IF('DATA UNIT'!$B97="","",'DATA UNIT'!$B97)</f>
        <v>KT 8621 YY</v>
      </c>
      <c r="B1907" s="6" t="str">
        <f aca="false">IF($A1907="","",INDEX(PlanningItemsList,6))</f>
        <v>Accu</v>
      </c>
      <c r="C1907" s="7"/>
      <c r="D1907" s="7"/>
    </row>
    <row r="1908" customFormat="false" ht="15" hidden="false" customHeight="false" outlineLevel="0" collapsed="false">
      <c r="A1908" s="6" t="str">
        <f aca="false">IF('DATA UNIT'!$B97="","",'DATA UNIT'!$B97)</f>
        <v>KT 8621 YY</v>
      </c>
      <c r="B1908" s="6" t="str">
        <f aca="false">IF($A1908="","",INDEX(PlanningItemsList,7))</f>
        <v>Kampas Kopling Set</v>
      </c>
      <c r="C1908" s="7"/>
      <c r="D1908" s="7"/>
    </row>
    <row r="1909" customFormat="false" ht="15" hidden="false" customHeight="false" outlineLevel="0" collapsed="false">
      <c r="A1909" s="6" t="str">
        <f aca="false">IF('DATA UNIT'!$B97="","",'DATA UNIT'!$B97)</f>
        <v>KT 8621 YY</v>
      </c>
      <c r="B1909" s="6" t="str">
        <f aca="false">IF($A1909="","",INDEX(PlanningItemsList,8))</f>
        <v>Wiper Blade</v>
      </c>
      <c r="C1909" s="7"/>
      <c r="D1909" s="7"/>
    </row>
    <row r="1910" customFormat="false" ht="15" hidden="false" customHeight="false" outlineLevel="0" collapsed="false">
      <c r="A1910" s="6" t="str">
        <f aca="false">IF('DATA UNIT'!$B97="","",'DATA UNIT'!$B97)</f>
        <v>KT 8621 YY</v>
      </c>
      <c r="B1910" s="6" t="str">
        <f aca="false">IF($A1910="","",INDEX(PlanningItemsList,9))</f>
        <v>Ban Depan</v>
      </c>
      <c r="C1910" s="7"/>
      <c r="D1910" s="7"/>
    </row>
    <row r="1911" customFormat="false" ht="15" hidden="false" customHeight="false" outlineLevel="0" collapsed="false">
      <c r="A1911" s="6" t="str">
        <f aca="false">IF('DATA UNIT'!$B97="","",'DATA UNIT'!$B97)</f>
        <v>KT 8621 YY</v>
      </c>
      <c r="B1911" s="6" t="str">
        <f aca="false">IF($A1911="","",INDEX(PlanningItemsList,10))</f>
        <v>Ban Belakang</v>
      </c>
      <c r="C1911" s="7"/>
      <c r="D1911" s="7"/>
    </row>
    <row r="1912" customFormat="false" ht="15" hidden="false" customHeight="false" outlineLevel="0" collapsed="false">
      <c r="A1912" s="6" t="str">
        <f aca="false">IF('DATA UNIT'!$B97="","",'DATA UNIT'!$B97)</f>
        <v>KT 8621 YY</v>
      </c>
      <c r="B1912" s="6" t="str">
        <f aca="false">IF($A1912="","",INDEX(PlanningItemsList,11))</f>
        <v>Ban Serep</v>
      </c>
      <c r="C1912" s="7"/>
      <c r="D1912" s="7"/>
    </row>
    <row r="1913" customFormat="false" ht="15" hidden="false" customHeight="false" outlineLevel="0" collapsed="false">
      <c r="A1913" s="6" t="str">
        <f aca="false">IF('DATA UNIT'!$B97="","",'DATA UNIT'!$B97)</f>
        <v>KT 8621 YY</v>
      </c>
      <c r="B1913" s="6" t="str">
        <f aca="false">IF($A1913="","",INDEX(PlanningItemsList,12))</f>
        <v>Greasing</v>
      </c>
      <c r="C1913" s="7"/>
      <c r="D1913" s="7"/>
    </row>
    <row r="1914" customFormat="false" ht="15" hidden="false" customHeight="false" outlineLevel="0" collapsed="false">
      <c r="A1914" s="6" t="str">
        <f aca="false">IF('DATA UNIT'!$B97="","",'DATA UNIT'!$B97)</f>
        <v>KT 8621 YY</v>
      </c>
      <c r="B1914" s="6" t="str">
        <f aca="false">IF($A1914="","",INDEX(PlanningItemsList,13))</f>
        <v>V-Belt</v>
      </c>
      <c r="C1914" s="7"/>
      <c r="D1914" s="7"/>
    </row>
    <row r="1915" customFormat="false" ht="15" hidden="false" customHeight="false" outlineLevel="0" collapsed="false">
      <c r="A1915" s="6" t="str">
        <f aca="false">IF('DATA UNIT'!$B97="","",'DATA UNIT'!$B97)</f>
        <v>KT 8621 YY</v>
      </c>
      <c r="B1915" s="6" t="str">
        <f aca="false">IF($A1915="","",INDEX(PlanningItemsList,14))</f>
        <v>Sarung Jok</v>
      </c>
      <c r="C1915" s="7"/>
      <c r="D1915" s="7"/>
    </row>
    <row r="1916" customFormat="false" ht="15" hidden="false" customHeight="false" outlineLevel="0" collapsed="false">
      <c r="A1916" s="6" t="str">
        <f aca="false">IF('DATA UNIT'!$B97="","",'DATA UNIT'!$B97)</f>
        <v>KT 8621 YY</v>
      </c>
      <c r="B1916" s="6" t="str">
        <f aca="false">IF($A1916="","",INDEX(PlanningItemsList,15))</f>
        <v>Karpet Karet</v>
      </c>
      <c r="C1916" s="7"/>
      <c r="D1916" s="7"/>
    </row>
    <row r="1917" customFormat="false" ht="15" hidden="false" customHeight="false" outlineLevel="0" collapsed="false">
      <c r="A1917" s="6" t="str">
        <f aca="false">IF('DATA UNIT'!$B97="","",'DATA UNIT'!$B97)</f>
        <v>KT 8621 YY</v>
      </c>
      <c r="B1917" s="6" t="str">
        <f aca="false">IF($A1917="","",INDEX(PlanningItemsList,16))</f>
        <v>Karpet Dasar</v>
      </c>
      <c r="C1917" s="7"/>
      <c r="D1917" s="7"/>
    </row>
    <row r="1918" customFormat="false" ht="15" hidden="false" customHeight="false" outlineLevel="0" collapsed="false">
      <c r="A1918" s="6" t="str">
        <f aca="false">IF('DATA UNIT'!$B97="","",'DATA UNIT'!$B97)</f>
        <v>KT 8621 YY</v>
      </c>
      <c r="B1918" s="6" t="str">
        <f aca="false">IF($A1918="","",INDEX(PlanningItemsList,17))</f>
        <v>Flushing Radiator</v>
      </c>
      <c r="C1918" s="7"/>
      <c r="D1918" s="7"/>
    </row>
    <row r="1919" customFormat="false" ht="15" hidden="false" customHeight="false" outlineLevel="0" collapsed="false">
      <c r="A1919" s="6" t="str">
        <f aca="false">IF('DATA UNIT'!$B97="","",'DATA UNIT'!$B97)</f>
        <v>KT 8621 YY</v>
      </c>
      <c r="B1919" s="6" t="str">
        <f aca="false">IF($A1919="","",INDEX(PlanningItemsList,18))</f>
        <v>Flushing Steering</v>
      </c>
      <c r="C1919" s="7"/>
      <c r="D1919" s="7"/>
    </row>
    <row r="1920" customFormat="false" ht="15" hidden="false" customHeight="false" outlineLevel="0" collapsed="false">
      <c r="A1920" s="6" t="str">
        <f aca="false">IF('DATA UNIT'!$B97="","",'DATA UNIT'!$B97)</f>
        <v>KT 8621 YY</v>
      </c>
      <c r="B1920" s="6" t="str">
        <f aca="false">IF($A1920="","",INDEX(PlanningItemsList,19))</f>
        <v>Flushing Injector</v>
      </c>
      <c r="C1920" s="7"/>
      <c r="D1920" s="7"/>
    </row>
    <row r="1921" customFormat="false" ht="15" hidden="false" customHeight="false" outlineLevel="0" collapsed="false">
      <c r="A1921" s="6" t="str">
        <f aca="false">IF('DATA UNIT'!$B97="","",'DATA UNIT'!$B97)</f>
        <v>KT 8621 YY</v>
      </c>
      <c r="B1921" s="6" t="str">
        <f aca="false">IF($A1921="","",INDEX(PlanningItemsList,20))</f>
        <v>Flushing Rem</v>
      </c>
      <c r="C1921" s="7"/>
      <c r="D1921" s="7"/>
    </row>
    <row r="1922" customFormat="false" ht="15" hidden="false" customHeight="false" outlineLevel="0" collapsed="false">
      <c r="A1922" s="6" t="str">
        <f aca="false">IF('DATA UNIT'!$B98="","",'DATA UNIT'!$B98)</f>
        <v>KT 8817 YS</v>
      </c>
      <c r="B1922" s="6" t="str">
        <f aca="false">IF($A1922="","",INDEX(PlanningItemsList,1))</f>
        <v>PM Check / Reguler Services</v>
      </c>
      <c r="C1922" s="7"/>
      <c r="D1922" s="7"/>
    </row>
    <row r="1923" customFormat="false" ht="15" hidden="false" customHeight="false" outlineLevel="0" collapsed="false">
      <c r="A1923" s="6" t="str">
        <f aca="false">IF('DATA UNIT'!$B98="","",'DATA UNIT'!$B98)</f>
        <v>KT 8817 YS</v>
      </c>
      <c r="B1923" s="6" t="str">
        <f aca="false">IF($A1923="","",INDEX(PlanningItemsList,2))</f>
        <v>Service A</v>
      </c>
      <c r="C1923" s="7"/>
      <c r="D1923" s="7"/>
    </row>
    <row r="1924" customFormat="false" ht="15" hidden="false" customHeight="false" outlineLevel="0" collapsed="false">
      <c r="A1924" s="6" t="str">
        <f aca="false">IF('DATA UNIT'!$B98="","",'DATA UNIT'!$B98)</f>
        <v>KT 8817 YS</v>
      </c>
      <c r="B1924" s="6" t="str">
        <f aca="false">IF($A1924="","",INDEX(PlanningItemsList,3))</f>
        <v>Service B</v>
      </c>
      <c r="C1924" s="7"/>
      <c r="D1924" s="7"/>
    </row>
    <row r="1925" customFormat="false" ht="15" hidden="false" customHeight="false" outlineLevel="0" collapsed="false">
      <c r="A1925" s="6" t="str">
        <f aca="false">IF('DATA UNIT'!$B98="","",'DATA UNIT'!$B98)</f>
        <v>KT 8817 YS</v>
      </c>
      <c r="B1925" s="6" t="str">
        <f aca="false">IF($A1925="","",INDEX(PlanningItemsList,4))</f>
        <v>Brake Pad</v>
      </c>
      <c r="C1925" s="7"/>
      <c r="D1925" s="7"/>
    </row>
    <row r="1926" customFormat="false" ht="15" hidden="false" customHeight="false" outlineLevel="0" collapsed="false">
      <c r="A1926" s="6" t="str">
        <f aca="false">IF('DATA UNIT'!$B98="","",'DATA UNIT'!$B98)</f>
        <v>KT 8817 YS</v>
      </c>
      <c r="B1926" s="6" t="str">
        <f aca="false">IF($A1926="","",INDEX(PlanningItemsList,5))</f>
        <v>Brake Shoe</v>
      </c>
      <c r="C1926" s="7"/>
      <c r="D1926" s="7"/>
    </row>
    <row r="1927" customFormat="false" ht="15" hidden="false" customHeight="false" outlineLevel="0" collapsed="false">
      <c r="A1927" s="6" t="str">
        <f aca="false">IF('DATA UNIT'!$B98="","",'DATA UNIT'!$B98)</f>
        <v>KT 8817 YS</v>
      </c>
      <c r="B1927" s="6" t="str">
        <f aca="false">IF($A1927="","",INDEX(PlanningItemsList,6))</f>
        <v>Accu</v>
      </c>
      <c r="C1927" s="7"/>
      <c r="D1927" s="7"/>
    </row>
    <row r="1928" customFormat="false" ht="15" hidden="false" customHeight="false" outlineLevel="0" collapsed="false">
      <c r="A1928" s="6" t="str">
        <f aca="false">IF('DATA UNIT'!$B98="","",'DATA UNIT'!$B98)</f>
        <v>KT 8817 YS</v>
      </c>
      <c r="B1928" s="6" t="str">
        <f aca="false">IF($A1928="","",INDEX(PlanningItemsList,7))</f>
        <v>Kampas Kopling Set</v>
      </c>
      <c r="C1928" s="7"/>
      <c r="D1928" s="7"/>
    </row>
    <row r="1929" customFormat="false" ht="15" hidden="false" customHeight="false" outlineLevel="0" collapsed="false">
      <c r="A1929" s="6" t="str">
        <f aca="false">IF('DATA UNIT'!$B98="","",'DATA UNIT'!$B98)</f>
        <v>KT 8817 YS</v>
      </c>
      <c r="B1929" s="6" t="str">
        <f aca="false">IF($A1929="","",INDEX(PlanningItemsList,8))</f>
        <v>Wiper Blade</v>
      </c>
      <c r="C1929" s="7"/>
      <c r="D1929" s="7"/>
    </row>
    <row r="1930" customFormat="false" ht="15" hidden="false" customHeight="false" outlineLevel="0" collapsed="false">
      <c r="A1930" s="6" t="str">
        <f aca="false">IF('DATA UNIT'!$B98="","",'DATA UNIT'!$B98)</f>
        <v>KT 8817 YS</v>
      </c>
      <c r="B1930" s="6" t="str">
        <f aca="false">IF($A1930="","",INDEX(PlanningItemsList,9))</f>
        <v>Ban Depan</v>
      </c>
      <c r="C1930" s="7"/>
      <c r="D1930" s="7"/>
    </row>
    <row r="1931" customFormat="false" ht="15" hidden="false" customHeight="false" outlineLevel="0" collapsed="false">
      <c r="A1931" s="6" t="str">
        <f aca="false">IF('DATA UNIT'!$B98="","",'DATA UNIT'!$B98)</f>
        <v>KT 8817 YS</v>
      </c>
      <c r="B1931" s="6" t="str">
        <f aca="false">IF($A1931="","",INDEX(PlanningItemsList,10))</f>
        <v>Ban Belakang</v>
      </c>
      <c r="C1931" s="7"/>
      <c r="D1931" s="7"/>
    </row>
    <row r="1932" customFormat="false" ht="15" hidden="false" customHeight="false" outlineLevel="0" collapsed="false">
      <c r="A1932" s="6" t="str">
        <f aca="false">IF('DATA UNIT'!$B98="","",'DATA UNIT'!$B98)</f>
        <v>KT 8817 YS</v>
      </c>
      <c r="B1932" s="6" t="str">
        <f aca="false">IF($A1932="","",INDEX(PlanningItemsList,11))</f>
        <v>Ban Serep</v>
      </c>
      <c r="C1932" s="7"/>
      <c r="D1932" s="7"/>
    </row>
    <row r="1933" customFormat="false" ht="15" hidden="false" customHeight="false" outlineLevel="0" collapsed="false">
      <c r="A1933" s="6" t="str">
        <f aca="false">IF('DATA UNIT'!$B98="","",'DATA UNIT'!$B98)</f>
        <v>KT 8817 YS</v>
      </c>
      <c r="B1933" s="6" t="str">
        <f aca="false">IF($A1933="","",INDEX(PlanningItemsList,12))</f>
        <v>Greasing</v>
      </c>
      <c r="C1933" s="7"/>
      <c r="D1933" s="7"/>
    </row>
    <row r="1934" customFormat="false" ht="15" hidden="false" customHeight="false" outlineLevel="0" collapsed="false">
      <c r="A1934" s="6" t="str">
        <f aca="false">IF('DATA UNIT'!$B98="","",'DATA UNIT'!$B98)</f>
        <v>KT 8817 YS</v>
      </c>
      <c r="B1934" s="6" t="str">
        <f aca="false">IF($A1934="","",INDEX(PlanningItemsList,13))</f>
        <v>V-Belt</v>
      </c>
      <c r="C1934" s="7"/>
      <c r="D1934" s="7"/>
    </row>
    <row r="1935" customFormat="false" ht="15" hidden="false" customHeight="false" outlineLevel="0" collapsed="false">
      <c r="A1935" s="6" t="str">
        <f aca="false">IF('DATA UNIT'!$B98="","",'DATA UNIT'!$B98)</f>
        <v>KT 8817 YS</v>
      </c>
      <c r="B1935" s="6" t="str">
        <f aca="false">IF($A1935="","",INDEX(PlanningItemsList,14))</f>
        <v>Sarung Jok</v>
      </c>
      <c r="C1935" s="7"/>
      <c r="D1935" s="7"/>
    </row>
    <row r="1936" customFormat="false" ht="15" hidden="false" customHeight="false" outlineLevel="0" collapsed="false">
      <c r="A1936" s="6" t="str">
        <f aca="false">IF('DATA UNIT'!$B98="","",'DATA UNIT'!$B98)</f>
        <v>KT 8817 YS</v>
      </c>
      <c r="B1936" s="6" t="str">
        <f aca="false">IF($A1936="","",INDEX(PlanningItemsList,15))</f>
        <v>Karpet Karet</v>
      </c>
      <c r="C1936" s="7"/>
      <c r="D1936" s="7"/>
    </row>
    <row r="1937" customFormat="false" ht="15" hidden="false" customHeight="false" outlineLevel="0" collapsed="false">
      <c r="A1937" s="6" t="str">
        <f aca="false">IF('DATA UNIT'!$B98="","",'DATA UNIT'!$B98)</f>
        <v>KT 8817 YS</v>
      </c>
      <c r="B1937" s="6" t="str">
        <f aca="false">IF($A1937="","",INDEX(PlanningItemsList,16))</f>
        <v>Karpet Dasar</v>
      </c>
      <c r="C1937" s="7"/>
      <c r="D1937" s="7"/>
    </row>
    <row r="1938" customFormat="false" ht="15" hidden="false" customHeight="false" outlineLevel="0" collapsed="false">
      <c r="A1938" s="6" t="str">
        <f aca="false">IF('DATA UNIT'!$B98="","",'DATA UNIT'!$B98)</f>
        <v>KT 8817 YS</v>
      </c>
      <c r="B1938" s="6" t="str">
        <f aca="false">IF($A1938="","",INDEX(PlanningItemsList,17))</f>
        <v>Flushing Radiator</v>
      </c>
      <c r="C1938" s="7"/>
      <c r="D1938" s="7"/>
    </row>
    <row r="1939" customFormat="false" ht="15" hidden="false" customHeight="false" outlineLevel="0" collapsed="false">
      <c r="A1939" s="6" t="str">
        <f aca="false">IF('DATA UNIT'!$B98="","",'DATA UNIT'!$B98)</f>
        <v>KT 8817 YS</v>
      </c>
      <c r="B1939" s="6" t="str">
        <f aca="false">IF($A1939="","",INDEX(PlanningItemsList,18))</f>
        <v>Flushing Steering</v>
      </c>
      <c r="C1939" s="7"/>
      <c r="D1939" s="7"/>
    </row>
    <row r="1940" customFormat="false" ht="15" hidden="false" customHeight="false" outlineLevel="0" collapsed="false">
      <c r="A1940" s="6" t="str">
        <f aca="false">IF('DATA UNIT'!$B98="","",'DATA UNIT'!$B98)</f>
        <v>KT 8817 YS</v>
      </c>
      <c r="B1940" s="6" t="str">
        <f aca="false">IF($A1940="","",INDEX(PlanningItemsList,19))</f>
        <v>Flushing Injector</v>
      </c>
      <c r="C1940" s="7"/>
      <c r="D1940" s="7"/>
    </row>
    <row r="1941" customFormat="false" ht="15" hidden="false" customHeight="false" outlineLevel="0" collapsed="false">
      <c r="A1941" s="6" t="str">
        <f aca="false">IF('DATA UNIT'!$B98="","",'DATA UNIT'!$B98)</f>
        <v>KT 8817 YS</v>
      </c>
      <c r="B1941" s="6" t="str">
        <f aca="false">IF($A1941="","",INDEX(PlanningItemsList,20))</f>
        <v>Flushing Rem</v>
      </c>
      <c r="C1941" s="7"/>
      <c r="D1941" s="7"/>
    </row>
    <row r="1942" customFormat="false" ht="15" hidden="false" customHeight="false" outlineLevel="0" collapsed="false">
      <c r="A1942" s="6" t="str">
        <f aca="false">IF('DATA UNIT'!$B99="","",'DATA UNIT'!$B99)</f>
        <v>KT 8323 YV</v>
      </c>
      <c r="B1942" s="6" t="str">
        <f aca="false">IF($A1942="","",INDEX(PlanningItemsList,1))</f>
        <v>PM Check / Reguler Services</v>
      </c>
      <c r="C1942" s="7"/>
      <c r="D1942" s="7"/>
    </row>
    <row r="1943" customFormat="false" ht="15" hidden="false" customHeight="false" outlineLevel="0" collapsed="false">
      <c r="A1943" s="6" t="str">
        <f aca="false">IF('DATA UNIT'!$B99="","",'DATA UNIT'!$B99)</f>
        <v>KT 8323 YV</v>
      </c>
      <c r="B1943" s="6" t="str">
        <f aca="false">IF($A1943="","",INDEX(PlanningItemsList,2))</f>
        <v>Service A</v>
      </c>
      <c r="C1943" s="7"/>
      <c r="D1943" s="7"/>
    </row>
    <row r="1944" customFormat="false" ht="15" hidden="false" customHeight="false" outlineLevel="0" collapsed="false">
      <c r="A1944" s="6" t="str">
        <f aca="false">IF('DATA UNIT'!$B99="","",'DATA UNIT'!$B99)</f>
        <v>KT 8323 YV</v>
      </c>
      <c r="B1944" s="6" t="str">
        <f aca="false">IF($A1944="","",INDEX(PlanningItemsList,3))</f>
        <v>Service B</v>
      </c>
      <c r="C1944" s="7"/>
      <c r="D1944" s="7"/>
    </row>
    <row r="1945" customFormat="false" ht="15" hidden="false" customHeight="false" outlineLevel="0" collapsed="false">
      <c r="A1945" s="6" t="str">
        <f aca="false">IF('DATA UNIT'!$B99="","",'DATA UNIT'!$B99)</f>
        <v>KT 8323 YV</v>
      </c>
      <c r="B1945" s="6" t="str">
        <f aca="false">IF($A1945="","",INDEX(PlanningItemsList,4))</f>
        <v>Brake Pad</v>
      </c>
      <c r="C1945" s="7"/>
      <c r="D1945" s="7"/>
    </row>
    <row r="1946" customFormat="false" ht="15" hidden="false" customHeight="false" outlineLevel="0" collapsed="false">
      <c r="A1946" s="6" t="str">
        <f aca="false">IF('DATA UNIT'!$B99="","",'DATA UNIT'!$B99)</f>
        <v>KT 8323 YV</v>
      </c>
      <c r="B1946" s="6" t="str">
        <f aca="false">IF($A1946="","",INDEX(PlanningItemsList,5))</f>
        <v>Brake Shoe</v>
      </c>
      <c r="C1946" s="7"/>
      <c r="D1946" s="7"/>
    </row>
    <row r="1947" customFormat="false" ht="15" hidden="false" customHeight="false" outlineLevel="0" collapsed="false">
      <c r="A1947" s="6" t="str">
        <f aca="false">IF('DATA UNIT'!$B99="","",'DATA UNIT'!$B99)</f>
        <v>KT 8323 YV</v>
      </c>
      <c r="B1947" s="6" t="str">
        <f aca="false">IF($A1947="","",INDEX(PlanningItemsList,6))</f>
        <v>Accu</v>
      </c>
      <c r="C1947" s="7"/>
      <c r="D1947" s="7"/>
    </row>
    <row r="1948" customFormat="false" ht="15" hidden="false" customHeight="false" outlineLevel="0" collapsed="false">
      <c r="A1948" s="6" t="str">
        <f aca="false">IF('DATA UNIT'!$B99="","",'DATA UNIT'!$B99)</f>
        <v>KT 8323 YV</v>
      </c>
      <c r="B1948" s="6" t="str">
        <f aca="false">IF($A1948="","",INDEX(PlanningItemsList,7))</f>
        <v>Kampas Kopling Set</v>
      </c>
      <c r="C1948" s="7"/>
      <c r="D1948" s="7"/>
    </row>
    <row r="1949" customFormat="false" ht="15" hidden="false" customHeight="false" outlineLevel="0" collapsed="false">
      <c r="A1949" s="6" t="str">
        <f aca="false">IF('DATA UNIT'!$B99="","",'DATA UNIT'!$B99)</f>
        <v>KT 8323 YV</v>
      </c>
      <c r="B1949" s="6" t="str">
        <f aca="false">IF($A1949="","",INDEX(PlanningItemsList,8))</f>
        <v>Wiper Blade</v>
      </c>
      <c r="C1949" s="7"/>
      <c r="D1949" s="7"/>
    </row>
    <row r="1950" customFormat="false" ht="15" hidden="false" customHeight="false" outlineLevel="0" collapsed="false">
      <c r="A1950" s="6" t="str">
        <f aca="false">IF('DATA UNIT'!$B99="","",'DATA UNIT'!$B99)</f>
        <v>KT 8323 YV</v>
      </c>
      <c r="B1950" s="6" t="str">
        <f aca="false">IF($A1950="","",INDEX(PlanningItemsList,9))</f>
        <v>Ban Depan</v>
      </c>
      <c r="C1950" s="7"/>
      <c r="D1950" s="7"/>
    </row>
    <row r="1951" customFormat="false" ht="15" hidden="false" customHeight="false" outlineLevel="0" collapsed="false">
      <c r="A1951" s="6" t="str">
        <f aca="false">IF('DATA UNIT'!$B99="","",'DATA UNIT'!$B99)</f>
        <v>KT 8323 YV</v>
      </c>
      <c r="B1951" s="6" t="str">
        <f aca="false">IF($A1951="","",INDEX(PlanningItemsList,10))</f>
        <v>Ban Belakang</v>
      </c>
      <c r="C1951" s="7"/>
      <c r="D1951" s="7"/>
    </row>
    <row r="1952" customFormat="false" ht="15" hidden="false" customHeight="false" outlineLevel="0" collapsed="false">
      <c r="A1952" s="6" t="str">
        <f aca="false">IF('DATA UNIT'!$B99="","",'DATA UNIT'!$B99)</f>
        <v>KT 8323 YV</v>
      </c>
      <c r="B1952" s="6" t="str">
        <f aca="false">IF($A1952="","",INDEX(PlanningItemsList,11))</f>
        <v>Ban Serep</v>
      </c>
      <c r="C1952" s="7"/>
      <c r="D1952" s="7"/>
    </row>
    <row r="1953" customFormat="false" ht="15" hidden="false" customHeight="false" outlineLevel="0" collapsed="false">
      <c r="A1953" s="6" t="str">
        <f aca="false">IF('DATA UNIT'!$B99="","",'DATA UNIT'!$B99)</f>
        <v>KT 8323 YV</v>
      </c>
      <c r="B1953" s="6" t="str">
        <f aca="false">IF($A1953="","",INDEX(PlanningItemsList,12))</f>
        <v>Greasing</v>
      </c>
      <c r="C1953" s="7"/>
      <c r="D1953" s="7"/>
    </row>
    <row r="1954" customFormat="false" ht="15" hidden="false" customHeight="false" outlineLevel="0" collapsed="false">
      <c r="A1954" s="6" t="str">
        <f aca="false">IF('DATA UNIT'!$B99="","",'DATA UNIT'!$B99)</f>
        <v>KT 8323 YV</v>
      </c>
      <c r="B1954" s="6" t="str">
        <f aca="false">IF($A1954="","",INDEX(PlanningItemsList,13))</f>
        <v>V-Belt</v>
      </c>
      <c r="C1954" s="7"/>
      <c r="D1954" s="7"/>
    </row>
    <row r="1955" customFormat="false" ht="15" hidden="false" customHeight="false" outlineLevel="0" collapsed="false">
      <c r="A1955" s="6" t="str">
        <f aca="false">IF('DATA UNIT'!$B99="","",'DATA UNIT'!$B99)</f>
        <v>KT 8323 YV</v>
      </c>
      <c r="B1955" s="6" t="str">
        <f aca="false">IF($A1955="","",INDEX(PlanningItemsList,14))</f>
        <v>Sarung Jok</v>
      </c>
      <c r="C1955" s="7"/>
      <c r="D1955" s="7"/>
    </row>
    <row r="1956" customFormat="false" ht="15" hidden="false" customHeight="false" outlineLevel="0" collapsed="false">
      <c r="A1956" s="6" t="str">
        <f aca="false">IF('DATA UNIT'!$B99="","",'DATA UNIT'!$B99)</f>
        <v>KT 8323 YV</v>
      </c>
      <c r="B1956" s="6" t="str">
        <f aca="false">IF($A1956="","",INDEX(PlanningItemsList,15))</f>
        <v>Karpet Karet</v>
      </c>
      <c r="C1956" s="7"/>
      <c r="D1956" s="7"/>
    </row>
    <row r="1957" customFormat="false" ht="15" hidden="false" customHeight="false" outlineLevel="0" collapsed="false">
      <c r="A1957" s="6" t="str">
        <f aca="false">IF('DATA UNIT'!$B99="","",'DATA UNIT'!$B99)</f>
        <v>KT 8323 YV</v>
      </c>
      <c r="B1957" s="6" t="str">
        <f aca="false">IF($A1957="","",INDEX(PlanningItemsList,16))</f>
        <v>Karpet Dasar</v>
      </c>
      <c r="C1957" s="7"/>
      <c r="D1957" s="7"/>
    </row>
    <row r="1958" customFormat="false" ht="15" hidden="false" customHeight="false" outlineLevel="0" collapsed="false">
      <c r="A1958" s="6" t="str">
        <f aca="false">IF('DATA UNIT'!$B99="","",'DATA UNIT'!$B99)</f>
        <v>KT 8323 YV</v>
      </c>
      <c r="B1958" s="6" t="str">
        <f aca="false">IF($A1958="","",INDEX(PlanningItemsList,17))</f>
        <v>Flushing Radiator</v>
      </c>
      <c r="C1958" s="7"/>
      <c r="D1958" s="7"/>
    </row>
    <row r="1959" customFormat="false" ht="15" hidden="false" customHeight="false" outlineLevel="0" collapsed="false">
      <c r="A1959" s="6" t="str">
        <f aca="false">IF('DATA UNIT'!$B99="","",'DATA UNIT'!$B99)</f>
        <v>KT 8323 YV</v>
      </c>
      <c r="B1959" s="6" t="str">
        <f aca="false">IF($A1959="","",INDEX(PlanningItemsList,18))</f>
        <v>Flushing Steering</v>
      </c>
      <c r="C1959" s="7"/>
      <c r="D1959" s="7"/>
    </row>
    <row r="1960" customFormat="false" ht="15" hidden="false" customHeight="false" outlineLevel="0" collapsed="false">
      <c r="A1960" s="6" t="str">
        <f aca="false">IF('DATA UNIT'!$B99="","",'DATA UNIT'!$B99)</f>
        <v>KT 8323 YV</v>
      </c>
      <c r="B1960" s="6" t="str">
        <f aca="false">IF($A1960="","",INDEX(PlanningItemsList,19))</f>
        <v>Flushing Injector</v>
      </c>
      <c r="C1960" s="7"/>
      <c r="D1960" s="7"/>
    </row>
    <row r="1961" customFormat="false" ht="15" hidden="false" customHeight="false" outlineLevel="0" collapsed="false">
      <c r="A1961" s="6" t="str">
        <f aca="false">IF('DATA UNIT'!$B99="","",'DATA UNIT'!$B99)</f>
        <v>KT 8323 YV</v>
      </c>
      <c r="B1961" s="6" t="str">
        <f aca="false">IF($A1961="","",INDEX(PlanningItemsList,20))</f>
        <v>Flushing Rem</v>
      </c>
      <c r="C1961" s="7"/>
      <c r="D1961" s="7"/>
    </row>
    <row r="1962" customFormat="false" ht="15" hidden="false" customHeight="false" outlineLevel="0" collapsed="false">
      <c r="A1962" s="6" t="str">
        <f aca="false">IF('DATA UNIT'!$B100="","",'DATA UNIT'!$B100)</f>
        <v>KT 8990 YS</v>
      </c>
      <c r="B1962" s="6" t="str">
        <f aca="false">IF($A1962="","",INDEX(PlanningItemsList,1))</f>
        <v>PM Check / Reguler Services</v>
      </c>
      <c r="C1962" s="7"/>
      <c r="D1962" s="7"/>
    </row>
    <row r="1963" customFormat="false" ht="15" hidden="false" customHeight="false" outlineLevel="0" collapsed="false">
      <c r="A1963" s="6" t="str">
        <f aca="false">IF('DATA UNIT'!$B100="","",'DATA UNIT'!$B100)</f>
        <v>KT 8990 YS</v>
      </c>
      <c r="B1963" s="6" t="str">
        <f aca="false">IF($A1963="","",INDEX(PlanningItemsList,2))</f>
        <v>Service A</v>
      </c>
      <c r="C1963" s="7"/>
      <c r="D1963" s="7"/>
    </row>
    <row r="1964" customFormat="false" ht="15" hidden="false" customHeight="false" outlineLevel="0" collapsed="false">
      <c r="A1964" s="6" t="str">
        <f aca="false">IF('DATA UNIT'!$B100="","",'DATA UNIT'!$B100)</f>
        <v>KT 8990 YS</v>
      </c>
      <c r="B1964" s="6" t="str">
        <f aca="false">IF($A1964="","",INDEX(PlanningItemsList,3))</f>
        <v>Service B</v>
      </c>
      <c r="C1964" s="7"/>
      <c r="D1964" s="7"/>
    </row>
    <row r="1965" customFormat="false" ht="15" hidden="false" customHeight="false" outlineLevel="0" collapsed="false">
      <c r="A1965" s="6" t="str">
        <f aca="false">IF('DATA UNIT'!$B100="","",'DATA UNIT'!$B100)</f>
        <v>KT 8990 YS</v>
      </c>
      <c r="B1965" s="6" t="str">
        <f aca="false">IF($A1965="","",INDEX(PlanningItemsList,4))</f>
        <v>Brake Pad</v>
      </c>
      <c r="C1965" s="7"/>
      <c r="D1965" s="7"/>
    </row>
    <row r="1966" customFormat="false" ht="15" hidden="false" customHeight="false" outlineLevel="0" collapsed="false">
      <c r="A1966" s="6" t="str">
        <f aca="false">IF('DATA UNIT'!$B100="","",'DATA UNIT'!$B100)</f>
        <v>KT 8990 YS</v>
      </c>
      <c r="B1966" s="6" t="str">
        <f aca="false">IF($A1966="","",INDEX(PlanningItemsList,5))</f>
        <v>Brake Shoe</v>
      </c>
      <c r="C1966" s="7"/>
      <c r="D1966" s="7"/>
    </row>
    <row r="1967" customFormat="false" ht="15" hidden="false" customHeight="false" outlineLevel="0" collapsed="false">
      <c r="A1967" s="6" t="str">
        <f aca="false">IF('DATA UNIT'!$B100="","",'DATA UNIT'!$B100)</f>
        <v>KT 8990 YS</v>
      </c>
      <c r="B1967" s="6" t="str">
        <f aca="false">IF($A1967="","",INDEX(PlanningItemsList,6))</f>
        <v>Accu</v>
      </c>
      <c r="C1967" s="7"/>
      <c r="D1967" s="7"/>
    </row>
    <row r="1968" customFormat="false" ht="15" hidden="false" customHeight="false" outlineLevel="0" collapsed="false">
      <c r="A1968" s="6" t="str">
        <f aca="false">IF('DATA UNIT'!$B100="","",'DATA UNIT'!$B100)</f>
        <v>KT 8990 YS</v>
      </c>
      <c r="B1968" s="6" t="str">
        <f aca="false">IF($A1968="","",INDEX(PlanningItemsList,7))</f>
        <v>Kampas Kopling Set</v>
      </c>
      <c r="C1968" s="7"/>
      <c r="D1968" s="7"/>
    </row>
    <row r="1969" customFormat="false" ht="15" hidden="false" customHeight="false" outlineLevel="0" collapsed="false">
      <c r="A1969" s="6" t="str">
        <f aca="false">IF('DATA UNIT'!$B100="","",'DATA UNIT'!$B100)</f>
        <v>KT 8990 YS</v>
      </c>
      <c r="B1969" s="6" t="str">
        <f aca="false">IF($A1969="","",INDEX(PlanningItemsList,8))</f>
        <v>Wiper Blade</v>
      </c>
      <c r="C1969" s="7"/>
      <c r="D1969" s="7"/>
    </row>
    <row r="1970" customFormat="false" ht="15" hidden="false" customHeight="false" outlineLevel="0" collapsed="false">
      <c r="A1970" s="6" t="str">
        <f aca="false">IF('DATA UNIT'!$B100="","",'DATA UNIT'!$B100)</f>
        <v>KT 8990 YS</v>
      </c>
      <c r="B1970" s="6" t="str">
        <f aca="false">IF($A1970="","",INDEX(PlanningItemsList,9))</f>
        <v>Ban Depan</v>
      </c>
      <c r="C1970" s="7"/>
      <c r="D1970" s="7"/>
    </row>
    <row r="1971" customFormat="false" ht="15" hidden="false" customHeight="false" outlineLevel="0" collapsed="false">
      <c r="A1971" s="6" t="str">
        <f aca="false">IF('DATA UNIT'!$B100="","",'DATA UNIT'!$B100)</f>
        <v>KT 8990 YS</v>
      </c>
      <c r="B1971" s="6" t="str">
        <f aca="false">IF($A1971="","",INDEX(PlanningItemsList,10))</f>
        <v>Ban Belakang</v>
      </c>
      <c r="C1971" s="7"/>
      <c r="D1971" s="7"/>
    </row>
    <row r="1972" customFormat="false" ht="15" hidden="false" customHeight="false" outlineLevel="0" collapsed="false">
      <c r="A1972" s="6" t="str">
        <f aca="false">IF('DATA UNIT'!$B100="","",'DATA UNIT'!$B100)</f>
        <v>KT 8990 YS</v>
      </c>
      <c r="B1972" s="6" t="str">
        <f aca="false">IF($A1972="","",INDEX(PlanningItemsList,11))</f>
        <v>Ban Serep</v>
      </c>
      <c r="C1972" s="7"/>
      <c r="D1972" s="7"/>
    </row>
    <row r="1973" customFormat="false" ht="15" hidden="false" customHeight="false" outlineLevel="0" collapsed="false">
      <c r="A1973" s="6" t="str">
        <f aca="false">IF('DATA UNIT'!$B100="","",'DATA UNIT'!$B100)</f>
        <v>KT 8990 YS</v>
      </c>
      <c r="B1973" s="6" t="str">
        <f aca="false">IF($A1973="","",INDEX(PlanningItemsList,12))</f>
        <v>Greasing</v>
      </c>
      <c r="C1973" s="7"/>
      <c r="D1973" s="7"/>
    </row>
    <row r="1974" customFormat="false" ht="15" hidden="false" customHeight="false" outlineLevel="0" collapsed="false">
      <c r="A1974" s="6" t="str">
        <f aca="false">IF('DATA UNIT'!$B100="","",'DATA UNIT'!$B100)</f>
        <v>KT 8990 YS</v>
      </c>
      <c r="B1974" s="6" t="str">
        <f aca="false">IF($A1974="","",INDEX(PlanningItemsList,13))</f>
        <v>V-Belt</v>
      </c>
      <c r="C1974" s="7"/>
      <c r="D1974" s="7"/>
    </row>
    <row r="1975" customFormat="false" ht="15" hidden="false" customHeight="false" outlineLevel="0" collapsed="false">
      <c r="A1975" s="6" t="str">
        <f aca="false">IF('DATA UNIT'!$B100="","",'DATA UNIT'!$B100)</f>
        <v>KT 8990 YS</v>
      </c>
      <c r="B1975" s="6" t="str">
        <f aca="false">IF($A1975="","",INDEX(PlanningItemsList,14))</f>
        <v>Sarung Jok</v>
      </c>
      <c r="C1975" s="7"/>
      <c r="D1975" s="7"/>
    </row>
    <row r="1976" customFormat="false" ht="15" hidden="false" customHeight="false" outlineLevel="0" collapsed="false">
      <c r="A1976" s="6" t="str">
        <f aca="false">IF('DATA UNIT'!$B100="","",'DATA UNIT'!$B100)</f>
        <v>KT 8990 YS</v>
      </c>
      <c r="B1976" s="6" t="str">
        <f aca="false">IF($A1976="","",INDEX(PlanningItemsList,15))</f>
        <v>Karpet Karet</v>
      </c>
      <c r="C1976" s="7"/>
      <c r="D1976" s="7"/>
    </row>
    <row r="1977" customFormat="false" ht="15" hidden="false" customHeight="false" outlineLevel="0" collapsed="false">
      <c r="A1977" s="6" t="str">
        <f aca="false">IF('DATA UNIT'!$B100="","",'DATA UNIT'!$B100)</f>
        <v>KT 8990 YS</v>
      </c>
      <c r="B1977" s="6" t="str">
        <f aca="false">IF($A1977="","",INDEX(PlanningItemsList,16))</f>
        <v>Karpet Dasar</v>
      </c>
      <c r="C1977" s="7"/>
      <c r="D1977" s="7"/>
    </row>
    <row r="1978" customFormat="false" ht="15" hidden="false" customHeight="false" outlineLevel="0" collapsed="false">
      <c r="A1978" s="6" t="str">
        <f aca="false">IF('DATA UNIT'!$B100="","",'DATA UNIT'!$B100)</f>
        <v>KT 8990 YS</v>
      </c>
      <c r="B1978" s="6" t="str">
        <f aca="false">IF($A1978="","",INDEX(PlanningItemsList,17))</f>
        <v>Flushing Radiator</v>
      </c>
      <c r="C1978" s="7"/>
      <c r="D1978" s="7"/>
    </row>
    <row r="1979" customFormat="false" ht="15" hidden="false" customHeight="false" outlineLevel="0" collapsed="false">
      <c r="A1979" s="6" t="str">
        <f aca="false">IF('DATA UNIT'!$B100="","",'DATA UNIT'!$B100)</f>
        <v>KT 8990 YS</v>
      </c>
      <c r="B1979" s="6" t="str">
        <f aca="false">IF($A1979="","",INDEX(PlanningItemsList,18))</f>
        <v>Flushing Steering</v>
      </c>
      <c r="C1979" s="7"/>
      <c r="D1979" s="7"/>
    </row>
    <row r="1980" customFormat="false" ht="15" hidden="false" customHeight="false" outlineLevel="0" collapsed="false">
      <c r="A1980" s="6" t="str">
        <f aca="false">IF('DATA UNIT'!$B100="","",'DATA UNIT'!$B100)</f>
        <v>KT 8990 YS</v>
      </c>
      <c r="B1980" s="6" t="str">
        <f aca="false">IF($A1980="","",INDEX(PlanningItemsList,19))</f>
        <v>Flushing Injector</v>
      </c>
      <c r="C1980" s="7"/>
      <c r="D1980" s="7"/>
    </row>
    <row r="1981" customFormat="false" ht="15" hidden="false" customHeight="false" outlineLevel="0" collapsed="false">
      <c r="A1981" s="6" t="str">
        <f aca="false">IF('DATA UNIT'!$B100="","",'DATA UNIT'!$B100)</f>
        <v>KT 8990 YS</v>
      </c>
      <c r="B1981" s="6" t="str">
        <f aca="false">IF($A1981="","",INDEX(PlanningItemsList,20))</f>
        <v>Flushing Rem</v>
      </c>
      <c r="C1981" s="7"/>
      <c r="D1981" s="7"/>
    </row>
    <row r="1982" customFormat="false" ht="15" hidden="false" customHeight="false" outlineLevel="0" collapsed="false">
      <c r="A1982" s="6" t="str">
        <f aca="false">IF('DATA UNIT'!$B101="","",'DATA UNIT'!$B101)</f>
        <v>KT 8993 YS</v>
      </c>
      <c r="B1982" s="6" t="str">
        <f aca="false">IF($A1982="","",INDEX(PlanningItemsList,1))</f>
        <v>PM Check / Reguler Services</v>
      </c>
      <c r="C1982" s="7"/>
      <c r="D1982" s="7"/>
    </row>
    <row r="1983" customFormat="false" ht="15" hidden="false" customHeight="false" outlineLevel="0" collapsed="false">
      <c r="A1983" s="6" t="str">
        <f aca="false">IF('DATA UNIT'!$B101="","",'DATA UNIT'!$B101)</f>
        <v>KT 8993 YS</v>
      </c>
      <c r="B1983" s="6" t="str">
        <f aca="false">IF($A1983="","",INDEX(PlanningItemsList,2))</f>
        <v>Service A</v>
      </c>
      <c r="C1983" s="7"/>
      <c r="D1983" s="7"/>
    </row>
    <row r="1984" customFormat="false" ht="15" hidden="false" customHeight="false" outlineLevel="0" collapsed="false">
      <c r="A1984" s="6" t="str">
        <f aca="false">IF('DATA UNIT'!$B101="","",'DATA UNIT'!$B101)</f>
        <v>KT 8993 YS</v>
      </c>
      <c r="B1984" s="6" t="str">
        <f aca="false">IF($A1984="","",INDEX(PlanningItemsList,3))</f>
        <v>Service B</v>
      </c>
      <c r="C1984" s="7"/>
      <c r="D1984" s="7"/>
    </row>
    <row r="1985" customFormat="false" ht="15" hidden="false" customHeight="false" outlineLevel="0" collapsed="false">
      <c r="A1985" s="6" t="str">
        <f aca="false">IF('DATA UNIT'!$B101="","",'DATA UNIT'!$B101)</f>
        <v>KT 8993 YS</v>
      </c>
      <c r="B1985" s="6" t="str">
        <f aca="false">IF($A1985="","",INDEX(PlanningItemsList,4))</f>
        <v>Brake Pad</v>
      </c>
      <c r="C1985" s="7"/>
      <c r="D1985" s="7"/>
    </row>
    <row r="1986" customFormat="false" ht="15" hidden="false" customHeight="false" outlineLevel="0" collapsed="false">
      <c r="A1986" s="6" t="str">
        <f aca="false">IF('DATA UNIT'!$B101="","",'DATA UNIT'!$B101)</f>
        <v>KT 8993 YS</v>
      </c>
      <c r="B1986" s="6" t="str">
        <f aca="false">IF($A1986="","",INDEX(PlanningItemsList,5))</f>
        <v>Brake Shoe</v>
      </c>
      <c r="C1986" s="7"/>
      <c r="D1986" s="7"/>
    </row>
    <row r="1987" customFormat="false" ht="15" hidden="false" customHeight="false" outlineLevel="0" collapsed="false">
      <c r="A1987" s="6" t="str">
        <f aca="false">IF('DATA UNIT'!$B101="","",'DATA UNIT'!$B101)</f>
        <v>KT 8993 YS</v>
      </c>
      <c r="B1987" s="6" t="str">
        <f aca="false">IF($A1987="","",INDEX(PlanningItemsList,6))</f>
        <v>Accu</v>
      </c>
      <c r="C1987" s="7"/>
      <c r="D1987" s="7"/>
    </row>
    <row r="1988" customFormat="false" ht="15" hidden="false" customHeight="false" outlineLevel="0" collapsed="false">
      <c r="A1988" s="6" t="str">
        <f aca="false">IF('DATA UNIT'!$B101="","",'DATA UNIT'!$B101)</f>
        <v>KT 8993 YS</v>
      </c>
      <c r="B1988" s="6" t="str">
        <f aca="false">IF($A1988="","",INDEX(PlanningItemsList,7))</f>
        <v>Kampas Kopling Set</v>
      </c>
      <c r="C1988" s="7"/>
      <c r="D1988" s="7"/>
    </row>
    <row r="1989" customFormat="false" ht="15" hidden="false" customHeight="false" outlineLevel="0" collapsed="false">
      <c r="A1989" s="6" t="str">
        <f aca="false">IF('DATA UNIT'!$B101="","",'DATA UNIT'!$B101)</f>
        <v>KT 8993 YS</v>
      </c>
      <c r="B1989" s="6" t="str">
        <f aca="false">IF($A1989="","",INDEX(PlanningItemsList,8))</f>
        <v>Wiper Blade</v>
      </c>
      <c r="C1989" s="7"/>
      <c r="D1989" s="7"/>
    </row>
    <row r="1990" customFormat="false" ht="15" hidden="false" customHeight="false" outlineLevel="0" collapsed="false">
      <c r="A1990" s="6" t="str">
        <f aca="false">IF('DATA UNIT'!$B101="","",'DATA UNIT'!$B101)</f>
        <v>KT 8993 YS</v>
      </c>
      <c r="B1990" s="6" t="str">
        <f aca="false">IF($A1990="","",INDEX(PlanningItemsList,9))</f>
        <v>Ban Depan</v>
      </c>
      <c r="C1990" s="7"/>
      <c r="D1990" s="7"/>
    </row>
    <row r="1991" customFormat="false" ht="15" hidden="false" customHeight="false" outlineLevel="0" collapsed="false">
      <c r="A1991" s="6" t="str">
        <f aca="false">IF('DATA UNIT'!$B101="","",'DATA UNIT'!$B101)</f>
        <v>KT 8993 YS</v>
      </c>
      <c r="B1991" s="6" t="str">
        <f aca="false">IF($A1991="","",INDEX(PlanningItemsList,10))</f>
        <v>Ban Belakang</v>
      </c>
      <c r="C1991" s="7"/>
      <c r="D1991" s="7"/>
    </row>
    <row r="1992" customFormat="false" ht="15" hidden="false" customHeight="false" outlineLevel="0" collapsed="false">
      <c r="A1992" s="6" t="str">
        <f aca="false">IF('DATA UNIT'!$B101="","",'DATA UNIT'!$B101)</f>
        <v>KT 8993 YS</v>
      </c>
      <c r="B1992" s="6" t="str">
        <f aca="false">IF($A1992="","",INDEX(PlanningItemsList,11))</f>
        <v>Ban Serep</v>
      </c>
      <c r="C1992" s="7"/>
      <c r="D1992" s="7"/>
    </row>
    <row r="1993" customFormat="false" ht="15" hidden="false" customHeight="false" outlineLevel="0" collapsed="false">
      <c r="A1993" s="6" t="str">
        <f aca="false">IF('DATA UNIT'!$B101="","",'DATA UNIT'!$B101)</f>
        <v>KT 8993 YS</v>
      </c>
      <c r="B1993" s="6" t="str">
        <f aca="false">IF($A1993="","",INDEX(PlanningItemsList,12))</f>
        <v>Greasing</v>
      </c>
      <c r="C1993" s="7"/>
      <c r="D1993" s="7"/>
    </row>
    <row r="1994" customFormat="false" ht="15" hidden="false" customHeight="false" outlineLevel="0" collapsed="false">
      <c r="A1994" s="6" t="str">
        <f aca="false">IF('DATA UNIT'!$B101="","",'DATA UNIT'!$B101)</f>
        <v>KT 8993 YS</v>
      </c>
      <c r="B1994" s="6" t="str">
        <f aca="false">IF($A1994="","",INDEX(PlanningItemsList,13))</f>
        <v>V-Belt</v>
      </c>
      <c r="C1994" s="7"/>
      <c r="D1994" s="7"/>
    </row>
    <row r="1995" customFormat="false" ht="15" hidden="false" customHeight="false" outlineLevel="0" collapsed="false">
      <c r="A1995" s="6" t="str">
        <f aca="false">IF('DATA UNIT'!$B101="","",'DATA UNIT'!$B101)</f>
        <v>KT 8993 YS</v>
      </c>
      <c r="B1995" s="6" t="str">
        <f aca="false">IF($A1995="","",INDEX(PlanningItemsList,14))</f>
        <v>Sarung Jok</v>
      </c>
      <c r="C1995" s="7"/>
      <c r="D1995" s="7"/>
    </row>
    <row r="1996" customFormat="false" ht="15" hidden="false" customHeight="false" outlineLevel="0" collapsed="false">
      <c r="A1996" s="6" t="str">
        <f aca="false">IF('DATA UNIT'!$B101="","",'DATA UNIT'!$B101)</f>
        <v>KT 8993 YS</v>
      </c>
      <c r="B1996" s="6" t="str">
        <f aca="false">IF($A1996="","",INDEX(PlanningItemsList,15))</f>
        <v>Karpet Karet</v>
      </c>
      <c r="C1996" s="7"/>
      <c r="D1996" s="7"/>
    </row>
    <row r="1997" customFormat="false" ht="15" hidden="false" customHeight="false" outlineLevel="0" collapsed="false">
      <c r="A1997" s="6" t="str">
        <f aca="false">IF('DATA UNIT'!$B101="","",'DATA UNIT'!$B101)</f>
        <v>KT 8993 YS</v>
      </c>
      <c r="B1997" s="6" t="str">
        <f aca="false">IF($A1997="","",INDEX(PlanningItemsList,16))</f>
        <v>Karpet Dasar</v>
      </c>
      <c r="C1997" s="7"/>
      <c r="D1997" s="7"/>
    </row>
    <row r="1998" customFormat="false" ht="15" hidden="false" customHeight="false" outlineLevel="0" collapsed="false">
      <c r="A1998" s="6" t="str">
        <f aca="false">IF('DATA UNIT'!$B101="","",'DATA UNIT'!$B101)</f>
        <v>KT 8993 YS</v>
      </c>
      <c r="B1998" s="6" t="str">
        <f aca="false">IF($A1998="","",INDEX(PlanningItemsList,17))</f>
        <v>Flushing Radiator</v>
      </c>
      <c r="C1998" s="7"/>
      <c r="D1998" s="7"/>
    </row>
    <row r="1999" customFormat="false" ht="15" hidden="false" customHeight="false" outlineLevel="0" collapsed="false">
      <c r="A1999" s="6" t="str">
        <f aca="false">IF('DATA UNIT'!$B101="","",'DATA UNIT'!$B101)</f>
        <v>KT 8993 YS</v>
      </c>
      <c r="B1999" s="6" t="str">
        <f aca="false">IF($A1999="","",INDEX(PlanningItemsList,18))</f>
        <v>Flushing Steering</v>
      </c>
      <c r="C1999" s="7"/>
      <c r="D1999" s="7"/>
    </row>
    <row r="2000" customFormat="false" ht="15" hidden="false" customHeight="false" outlineLevel="0" collapsed="false">
      <c r="A2000" s="6" t="str">
        <f aca="false">IF('DATA UNIT'!$B101="","",'DATA UNIT'!$B101)</f>
        <v>KT 8993 YS</v>
      </c>
      <c r="B2000" s="6" t="str">
        <f aca="false">IF($A2000="","",INDEX(PlanningItemsList,19))</f>
        <v>Flushing Injector</v>
      </c>
      <c r="C2000" s="7"/>
      <c r="D2000" s="7"/>
    </row>
    <row r="2001" customFormat="false" ht="15" hidden="false" customHeight="false" outlineLevel="0" collapsed="false">
      <c r="A2001" s="6" t="str">
        <f aca="false">IF('DATA UNIT'!$B101="","",'DATA UNIT'!$B101)</f>
        <v>KT 8993 YS</v>
      </c>
      <c r="B2001" s="6" t="str">
        <f aca="false">IF($A2001="","",INDEX(PlanningItemsList,20))</f>
        <v>Flushing Rem</v>
      </c>
      <c r="C2001" s="7"/>
      <c r="D2001" s="7"/>
    </row>
    <row r="2002" customFormat="false" ht="15" hidden="false" customHeight="false" outlineLevel="0" collapsed="false">
      <c r="A2002" s="6" t="str">
        <f aca="false">IF('DATA UNIT'!$B102="","",'DATA UNIT'!$B102)</f>
        <v>KT 8229 YS</v>
      </c>
      <c r="B2002" s="6" t="str">
        <f aca="false">IF($A2002="","",INDEX(PlanningItemsList,1))</f>
        <v>PM Check / Reguler Services</v>
      </c>
      <c r="C2002" s="7"/>
      <c r="D2002" s="7"/>
    </row>
    <row r="2003" customFormat="false" ht="15" hidden="false" customHeight="false" outlineLevel="0" collapsed="false">
      <c r="A2003" s="6" t="str">
        <f aca="false">IF('DATA UNIT'!$B102="","",'DATA UNIT'!$B102)</f>
        <v>KT 8229 YS</v>
      </c>
      <c r="B2003" s="6" t="str">
        <f aca="false">IF($A2003="","",INDEX(PlanningItemsList,2))</f>
        <v>Service A</v>
      </c>
      <c r="C2003" s="7"/>
      <c r="D2003" s="7"/>
    </row>
    <row r="2004" customFormat="false" ht="15" hidden="false" customHeight="false" outlineLevel="0" collapsed="false">
      <c r="A2004" s="6" t="str">
        <f aca="false">IF('DATA UNIT'!$B102="","",'DATA UNIT'!$B102)</f>
        <v>KT 8229 YS</v>
      </c>
      <c r="B2004" s="6" t="str">
        <f aca="false">IF($A2004="","",INDEX(PlanningItemsList,3))</f>
        <v>Service B</v>
      </c>
      <c r="C2004" s="7"/>
      <c r="D2004" s="7"/>
    </row>
    <row r="2005" customFormat="false" ht="15" hidden="false" customHeight="false" outlineLevel="0" collapsed="false">
      <c r="A2005" s="6" t="str">
        <f aca="false">IF('DATA UNIT'!$B102="","",'DATA UNIT'!$B102)</f>
        <v>KT 8229 YS</v>
      </c>
      <c r="B2005" s="6" t="str">
        <f aca="false">IF($A2005="","",INDEX(PlanningItemsList,4))</f>
        <v>Brake Pad</v>
      </c>
      <c r="C2005" s="7"/>
      <c r="D2005" s="7"/>
    </row>
    <row r="2006" customFormat="false" ht="15" hidden="false" customHeight="false" outlineLevel="0" collapsed="false">
      <c r="A2006" s="6" t="str">
        <f aca="false">IF('DATA UNIT'!$B102="","",'DATA UNIT'!$B102)</f>
        <v>KT 8229 YS</v>
      </c>
      <c r="B2006" s="6" t="str">
        <f aca="false">IF($A2006="","",INDEX(PlanningItemsList,5))</f>
        <v>Brake Shoe</v>
      </c>
      <c r="C2006" s="7"/>
      <c r="D2006" s="7"/>
    </row>
    <row r="2007" customFormat="false" ht="15" hidden="false" customHeight="false" outlineLevel="0" collapsed="false">
      <c r="A2007" s="6" t="str">
        <f aca="false">IF('DATA UNIT'!$B102="","",'DATA UNIT'!$B102)</f>
        <v>KT 8229 YS</v>
      </c>
      <c r="B2007" s="6" t="str">
        <f aca="false">IF($A2007="","",INDEX(PlanningItemsList,6))</f>
        <v>Accu</v>
      </c>
      <c r="C2007" s="7"/>
      <c r="D2007" s="7"/>
    </row>
    <row r="2008" customFormat="false" ht="15" hidden="false" customHeight="false" outlineLevel="0" collapsed="false">
      <c r="A2008" s="6" t="str">
        <f aca="false">IF('DATA UNIT'!$B102="","",'DATA UNIT'!$B102)</f>
        <v>KT 8229 YS</v>
      </c>
      <c r="B2008" s="6" t="str">
        <f aca="false">IF($A2008="","",INDEX(PlanningItemsList,7))</f>
        <v>Kampas Kopling Set</v>
      </c>
      <c r="C2008" s="7"/>
      <c r="D2008" s="7"/>
    </row>
    <row r="2009" customFormat="false" ht="15" hidden="false" customHeight="false" outlineLevel="0" collapsed="false">
      <c r="A2009" s="6" t="str">
        <f aca="false">IF('DATA UNIT'!$B102="","",'DATA UNIT'!$B102)</f>
        <v>KT 8229 YS</v>
      </c>
      <c r="B2009" s="6" t="str">
        <f aca="false">IF($A2009="","",INDEX(PlanningItemsList,8))</f>
        <v>Wiper Blade</v>
      </c>
      <c r="C2009" s="7"/>
      <c r="D2009" s="7"/>
    </row>
    <row r="2010" customFormat="false" ht="15" hidden="false" customHeight="false" outlineLevel="0" collapsed="false">
      <c r="A2010" s="6" t="str">
        <f aca="false">IF('DATA UNIT'!$B102="","",'DATA UNIT'!$B102)</f>
        <v>KT 8229 YS</v>
      </c>
      <c r="B2010" s="6" t="str">
        <f aca="false">IF($A2010="","",INDEX(PlanningItemsList,9))</f>
        <v>Ban Depan</v>
      </c>
      <c r="C2010" s="7"/>
      <c r="D2010" s="7"/>
    </row>
    <row r="2011" customFormat="false" ht="15" hidden="false" customHeight="false" outlineLevel="0" collapsed="false">
      <c r="A2011" s="6" t="str">
        <f aca="false">IF('DATA UNIT'!$B102="","",'DATA UNIT'!$B102)</f>
        <v>KT 8229 YS</v>
      </c>
      <c r="B2011" s="6" t="str">
        <f aca="false">IF($A2011="","",INDEX(PlanningItemsList,10))</f>
        <v>Ban Belakang</v>
      </c>
      <c r="C2011" s="7"/>
      <c r="D2011" s="7"/>
    </row>
    <row r="2012" customFormat="false" ht="15" hidden="false" customHeight="false" outlineLevel="0" collapsed="false">
      <c r="A2012" s="6" t="str">
        <f aca="false">IF('DATA UNIT'!$B102="","",'DATA UNIT'!$B102)</f>
        <v>KT 8229 YS</v>
      </c>
      <c r="B2012" s="6" t="str">
        <f aca="false">IF($A2012="","",INDEX(PlanningItemsList,11))</f>
        <v>Ban Serep</v>
      </c>
      <c r="C2012" s="7"/>
      <c r="D2012" s="7"/>
    </row>
    <row r="2013" customFormat="false" ht="15" hidden="false" customHeight="false" outlineLevel="0" collapsed="false">
      <c r="A2013" s="6" t="str">
        <f aca="false">IF('DATA UNIT'!$B102="","",'DATA UNIT'!$B102)</f>
        <v>KT 8229 YS</v>
      </c>
      <c r="B2013" s="6" t="str">
        <f aca="false">IF($A2013="","",INDEX(PlanningItemsList,12))</f>
        <v>Greasing</v>
      </c>
      <c r="C2013" s="7"/>
      <c r="D2013" s="7"/>
    </row>
    <row r="2014" customFormat="false" ht="15" hidden="false" customHeight="false" outlineLevel="0" collapsed="false">
      <c r="A2014" s="6" t="str">
        <f aca="false">IF('DATA UNIT'!$B102="","",'DATA UNIT'!$B102)</f>
        <v>KT 8229 YS</v>
      </c>
      <c r="B2014" s="6" t="str">
        <f aca="false">IF($A2014="","",INDEX(PlanningItemsList,13))</f>
        <v>V-Belt</v>
      </c>
      <c r="C2014" s="7"/>
      <c r="D2014" s="7"/>
    </row>
    <row r="2015" customFormat="false" ht="15" hidden="false" customHeight="false" outlineLevel="0" collapsed="false">
      <c r="A2015" s="6" t="str">
        <f aca="false">IF('DATA UNIT'!$B102="","",'DATA UNIT'!$B102)</f>
        <v>KT 8229 YS</v>
      </c>
      <c r="B2015" s="6" t="str">
        <f aca="false">IF($A2015="","",INDEX(PlanningItemsList,14))</f>
        <v>Sarung Jok</v>
      </c>
      <c r="C2015" s="7"/>
      <c r="D2015" s="7"/>
    </row>
    <row r="2016" customFormat="false" ht="15" hidden="false" customHeight="false" outlineLevel="0" collapsed="false">
      <c r="A2016" s="6" t="str">
        <f aca="false">IF('DATA UNIT'!$B102="","",'DATA UNIT'!$B102)</f>
        <v>KT 8229 YS</v>
      </c>
      <c r="B2016" s="6" t="str">
        <f aca="false">IF($A2016="","",INDEX(PlanningItemsList,15))</f>
        <v>Karpet Karet</v>
      </c>
      <c r="C2016" s="7"/>
      <c r="D2016" s="7"/>
    </row>
    <row r="2017" customFormat="false" ht="15" hidden="false" customHeight="false" outlineLevel="0" collapsed="false">
      <c r="A2017" s="6" t="str">
        <f aca="false">IF('DATA UNIT'!$B102="","",'DATA UNIT'!$B102)</f>
        <v>KT 8229 YS</v>
      </c>
      <c r="B2017" s="6" t="str">
        <f aca="false">IF($A2017="","",INDEX(PlanningItemsList,16))</f>
        <v>Karpet Dasar</v>
      </c>
      <c r="C2017" s="7"/>
      <c r="D2017" s="7"/>
    </row>
    <row r="2018" customFormat="false" ht="15" hidden="false" customHeight="false" outlineLevel="0" collapsed="false">
      <c r="A2018" s="6" t="str">
        <f aca="false">IF('DATA UNIT'!$B102="","",'DATA UNIT'!$B102)</f>
        <v>KT 8229 YS</v>
      </c>
      <c r="B2018" s="6" t="str">
        <f aca="false">IF($A2018="","",INDEX(PlanningItemsList,17))</f>
        <v>Flushing Radiator</v>
      </c>
      <c r="C2018" s="7"/>
      <c r="D2018" s="7"/>
    </row>
    <row r="2019" customFormat="false" ht="15" hidden="false" customHeight="false" outlineLevel="0" collapsed="false">
      <c r="A2019" s="6" t="str">
        <f aca="false">IF('DATA UNIT'!$B102="","",'DATA UNIT'!$B102)</f>
        <v>KT 8229 YS</v>
      </c>
      <c r="B2019" s="6" t="str">
        <f aca="false">IF($A2019="","",INDEX(PlanningItemsList,18))</f>
        <v>Flushing Steering</v>
      </c>
      <c r="C2019" s="7"/>
      <c r="D2019" s="7"/>
    </row>
    <row r="2020" customFormat="false" ht="15" hidden="false" customHeight="false" outlineLevel="0" collapsed="false">
      <c r="A2020" s="6" t="str">
        <f aca="false">IF('DATA UNIT'!$B102="","",'DATA UNIT'!$B102)</f>
        <v>KT 8229 YS</v>
      </c>
      <c r="B2020" s="6" t="str">
        <f aca="false">IF($A2020="","",INDEX(PlanningItemsList,19))</f>
        <v>Flushing Injector</v>
      </c>
      <c r="C2020" s="7"/>
      <c r="D2020" s="7"/>
    </row>
    <row r="2021" customFormat="false" ht="15" hidden="false" customHeight="false" outlineLevel="0" collapsed="false">
      <c r="A2021" s="6" t="str">
        <f aca="false">IF('DATA UNIT'!$B102="","",'DATA UNIT'!$B102)</f>
        <v>KT 8229 YS</v>
      </c>
      <c r="B2021" s="6" t="str">
        <f aca="false">IF($A2021="","",INDEX(PlanningItemsList,20))</f>
        <v>Flushing Rem</v>
      </c>
      <c r="C2021" s="7"/>
      <c r="D2021" s="7"/>
    </row>
    <row r="2022" customFormat="false" ht="15" hidden="false" customHeight="false" outlineLevel="0" collapsed="false">
      <c r="A2022" s="6" t="str">
        <f aca="false">IF('DATA UNIT'!$B103="","",'DATA UNIT'!$B103)</f>
        <v>KT 8694 YS</v>
      </c>
      <c r="B2022" s="6" t="str">
        <f aca="false">IF($A2022="","",INDEX(PlanningItemsList,1))</f>
        <v>PM Check / Reguler Services</v>
      </c>
      <c r="C2022" s="7"/>
      <c r="D2022" s="7"/>
    </row>
    <row r="2023" customFormat="false" ht="15" hidden="false" customHeight="false" outlineLevel="0" collapsed="false">
      <c r="A2023" s="6" t="str">
        <f aca="false">IF('DATA UNIT'!$B103="","",'DATA UNIT'!$B103)</f>
        <v>KT 8694 YS</v>
      </c>
      <c r="B2023" s="6" t="str">
        <f aca="false">IF($A2023="","",INDEX(PlanningItemsList,2))</f>
        <v>Service A</v>
      </c>
      <c r="C2023" s="7"/>
      <c r="D2023" s="7"/>
    </row>
    <row r="2024" customFormat="false" ht="15" hidden="false" customHeight="false" outlineLevel="0" collapsed="false">
      <c r="A2024" s="6" t="str">
        <f aca="false">IF('DATA UNIT'!$B103="","",'DATA UNIT'!$B103)</f>
        <v>KT 8694 YS</v>
      </c>
      <c r="B2024" s="6" t="str">
        <f aca="false">IF($A2024="","",INDEX(PlanningItemsList,3))</f>
        <v>Service B</v>
      </c>
      <c r="C2024" s="7"/>
      <c r="D2024" s="7"/>
    </row>
    <row r="2025" customFormat="false" ht="15" hidden="false" customHeight="false" outlineLevel="0" collapsed="false">
      <c r="A2025" s="6" t="str">
        <f aca="false">IF('DATA UNIT'!$B103="","",'DATA UNIT'!$B103)</f>
        <v>KT 8694 YS</v>
      </c>
      <c r="B2025" s="6" t="str">
        <f aca="false">IF($A2025="","",INDEX(PlanningItemsList,4))</f>
        <v>Brake Pad</v>
      </c>
      <c r="C2025" s="7"/>
      <c r="D2025" s="7"/>
    </row>
    <row r="2026" customFormat="false" ht="15" hidden="false" customHeight="false" outlineLevel="0" collapsed="false">
      <c r="A2026" s="6" t="str">
        <f aca="false">IF('DATA UNIT'!$B103="","",'DATA UNIT'!$B103)</f>
        <v>KT 8694 YS</v>
      </c>
      <c r="B2026" s="6" t="str">
        <f aca="false">IF($A2026="","",INDEX(PlanningItemsList,5))</f>
        <v>Brake Shoe</v>
      </c>
      <c r="C2026" s="7"/>
      <c r="D2026" s="7"/>
    </row>
    <row r="2027" customFormat="false" ht="15" hidden="false" customHeight="false" outlineLevel="0" collapsed="false">
      <c r="A2027" s="6" t="str">
        <f aca="false">IF('DATA UNIT'!$B103="","",'DATA UNIT'!$B103)</f>
        <v>KT 8694 YS</v>
      </c>
      <c r="B2027" s="6" t="str">
        <f aca="false">IF($A2027="","",INDEX(PlanningItemsList,6))</f>
        <v>Accu</v>
      </c>
      <c r="C2027" s="7"/>
      <c r="D2027" s="7"/>
    </row>
    <row r="2028" customFormat="false" ht="15" hidden="false" customHeight="false" outlineLevel="0" collapsed="false">
      <c r="A2028" s="6" t="str">
        <f aca="false">IF('DATA UNIT'!$B103="","",'DATA UNIT'!$B103)</f>
        <v>KT 8694 YS</v>
      </c>
      <c r="B2028" s="6" t="str">
        <f aca="false">IF($A2028="","",INDEX(PlanningItemsList,7))</f>
        <v>Kampas Kopling Set</v>
      </c>
      <c r="C2028" s="7"/>
      <c r="D2028" s="7"/>
    </row>
    <row r="2029" customFormat="false" ht="15" hidden="false" customHeight="false" outlineLevel="0" collapsed="false">
      <c r="A2029" s="6" t="str">
        <f aca="false">IF('DATA UNIT'!$B103="","",'DATA UNIT'!$B103)</f>
        <v>KT 8694 YS</v>
      </c>
      <c r="B2029" s="6" t="str">
        <f aca="false">IF($A2029="","",INDEX(PlanningItemsList,8))</f>
        <v>Wiper Blade</v>
      </c>
      <c r="C2029" s="7"/>
      <c r="D2029" s="7"/>
    </row>
    <row r="2030" customFormat="false" ht="15" hidden="false" customHeight="false" outlineLevel="0" collapsed="false">
      <c r="A2030" s="6" t="str">
        <f aca="false">IF('DATA UNIT'!$B103="","",'DATA UNIT'!$B103)</f>
        <v>KT 8694 YS</v>
      </c>
      <c r="B2030" s="6" t="str">
        <f aca="false">IF($A2030="","",INDEX(PlanningItemsList,9))</f>
        <v>Ban Depan</v>
      </c>
      <c r="C2030" s="7"/>
      <c r="D2030" s="7"/>
    </row>
    <row r="2031" customFormat="false" ht="15" hidden="false" customHeight="false" outlineLevel="0" collapsed="false">
      <c r="A2031" s="6" t="str">
        <f aca="false">IF('DATA UNIT'!$B103="","",'DATA UNIT'!$B103)</f>
        <v>KT 8694 YS</v>
      </c>
      <c r="B2031" s="6" t="str">
        <f aca="false">IF($A2031="","",INDEX(PlanningItemsList,10))</f>
        <v>Ban Belakang</v>
      </c>
      <c r="C2031" s="7"/>
      <c r="D2031" s="7"/>
    </row>
    <row r="2032" customFormat="false" ht="15" hidden="false" customHeight="false" outlineLevel="0" collapsed="false">
      <c r="A2032" s="6" t="str">
        <f aca="false">IF('DATA UNIT'!$B103="","",'DATA UNIT'!$B103)</f>
        <v>KT 8694 YS</v>
      </c>
      <c r="B2032" s="6" t="str">
        <f aca="false">IF($A2032="","",INDEX(PlanningItemsList,11))</f>
        <v>Ban Serep</v>
      </c>
      <c r="C2032" s="7"/>
      <c r="D2032" s="7"/>
    </row>
    <row r="2033" customFormat="false" ht="15" hidden="false" customHeight="false" outlineLevel="0" collapsed="false">
      <c r="A2033" s="6" t="str">
        <f aca="false">IF('DATA UNIT'!$B103="","",'DATA UNIT'!$B103)</f>
        <v>KT 8694 YS</v>
      </c>
      <c r="B2033" s="6" t="str">
        <f aca="false">IF($A2033="","",INDEX(PlanningItemsList,12))</f>
        <v>Greasing</v>
      </c>
      <c r="C2033" s="7"/>
      <c r="D2033" s="7"/>
    </row>
    <row r="2034" customFormat="false" ht="15" hidden="false" customHeight="false" outlineLevel="0" collapsed="false">
      <c r="A2034" s="6" t="str">
        <f aca="false">IF('DATA UNIT'!$B103="","",'DATA UNIT'!$B103)</f>
        <v>KT 8694 YS</v>
      </c>
      <c r="B2034" s="6" t="str">
        <f aca="false">IF($A2034="","",INDEX(PlanningItemsList,13))</f>
        <v>V-Belt</v>
      </c>
      <c r="C2034" s="7"/>
      <c r="D2034" s="7"/>
    </row>
    <row r="2035" customFormat="false" ht="15" hidden="false" customHeight="false" outlineLevel="0" collapsed="false">
      <c r="A2035" s="6" t="str">
        <f aca="false">IF('DATA UNIT'!$B103="","",'DATA UNIT'!$B103)</f>
        <v>KT 8694 YS</v>
      </c>
      <c r="B2035" s="6" t="str">
        <f aca="false">IF($A2035="","",INDEX(PlanningItemsList,14))</f>
        <v>Sarung Jok</v>
      </c>
      <c r="C2035" s="7"/>
      <c r="D2035" s="7"/>
    </row>
    <row r="2036" customFormat="false" ht="15" hidden="false" customHeight="false" outlineLevel="0" collapsed="false">
      <c r="A2036" s="6" t="str">
        <f aca="false">IF('DATA UNIT'!$B103="","",'DATA UNIT'!$B103)</f>
        <v>KT 8694 YS</v>
      </c>
      <c r="B2036" s="6" t="str">
        <f aca="false">IF($A2036="","",INDEX(PlanningItemsList,15))</f>
        <v>Karpet Karet</v>
      </c>
      <c r="C2036" s="7"/>
      <c r="D2036" s="7"/>
    </row>
    <row r="2037" customFormat="false" ht="15" hidden="false" customHeight="false" outlineLevel="0" collapsed="false">
      <c r="A2037" s="6" t="str">
        <f aca="false">IF('DATA UNIT'!$B103="","",'DATA UNIT'!$B103)</f>
        <v>KT 8694 YS</v>
      </c>
      <c r="B2037" s="6" t="str">
        <f aca="false">IF($A2037="","",INDEX(PlanningItemsList,16))</f>
        <v>Karpet Dasar</v>
      </c>
      <c r="C2037" s="7"/>
      <c r="D2037" s="7"/>
    </row>
    <row r="2038" customFormat="false" ht="15" hidden="false" customHeight="false" outlineLevel="0" collapsed="false">
      <c r="A2038" s="6" t="str">
        <f aca="false">IF('DATA UNIT'!$B103="","",'DATA UNIT'!$B103)</f>
        <v>KT 8694 YS</v>
      </c>
      <c r="B2038" s="6" t="str">
        <f aca="false">IF($A2038="","",INDEX(PlanningItemsList,17))</f>
        <v>Flushing Radiator</v>
      </c>
      <c r="C2038" s="7"/>
      <c r="D2038" s="7"/>
    </row>
    <row r="2039" customFormat="false" ht="15" hidden="false" customHeight="false" outlineLevel="0" collapsed="false">
      <c r="A2039" s="6" t="str">
        <f aca="false">IF('DATA UNIT'!$B103="","",'DATA UNIT'!$B103)</f>
        <v>KT 8694 YS</v>
      </c>
      <c r="B2039" s="6" t="str">
        <f aca="false">IF($A2039="","",INDEX(PlanningItemsList,18))</f>
        <v>Flushing Steering</v>
      </c>
      <c r="C2039" s="7"/>
      <c r="D2039" s="7"/>
    </row>
    <row r="2040" customFormat="false" ht="15" hidden="false" customHeight="false" outlineLevel="0" collapsed="false">
      <c r="A2040" s="6" t="str">
        <f aca="false">IF('DATA UNIT'!$B103="","",'DATA UNIT'!$B103)</f>
        <v>KT 8694 YS</v>
      </c>
      <c r="B2040" s="6" t="str">
        <f aca="false">IF($A2040="","",INDEX(PlanningItemsList,19))</f>
        <v>Flushing Injector</v>
      </c>
      <c r="C2040" s="7"/>
      <c r="D2040" s="7"/>
    </row>
    <row r="2041" customFormat="false" ht="15" hidden="false" customHeight="false" outlineLevel="0" collapsed="false">
      <c r="A2041" s="6" t="str">
        <f aca="false">IF('DATA UNIT'!$B103="","",'DATA UNIT'!$B103)</f>
        <v>KT 8694 YS</v>
      </c>
      <c r="B2041" s="6" t="str">
        <f aca="false">IF($A2041="","",INDEX(PlanningItemsList,20))</f>
        <v>Flushing Rem</v>
      </c>
      <c r="C2041" s="7"/>
      <c r="D2041" s="7"/>
    </row>
    <row r="2042" customFormat="false" ht="15" hidden="false" customHeight="false" outlineLevel="0" collapsed="false">
      <c r="A2042" s="6" t="str">
        <f aca="false">IF('DATA UNIT'!$B104="","",'DATA UNIT'!$B104)</f>
        <v>KT 8695 YS</v>
      </c>
      <c r="B2042" s="6" t="str">
        <f aca="false">IF($A2042="","",INDEX(PlanningItemsList,1))</f>
        <v>PM Check / Reguler Services</v>
      </c>
      <c r="C2042" s="7"/>
      <c r="D2042" s="7"/>
    </row>
    <row r="2043" customFormat="false" ht="15" hidden="false" customHeight="false" outlineLevel="0" collapsed="false">
      <c r="A2043" s="6" t="str">
        <f aca="false">IF('DATA UNIT'!$B104="","",'DATA UNIT'!$B104)</f>
        <v>KT 8695 YS</v>
      </c>
      <c r="B2043" s="6" t="str">
        <f aca="false">IF($A2043="","",INDEX(PlanningItemsList,2))</f>
        <v>Service A</v>
      </c>
      <c r="C2043" s="7"/>
      <c r="D2043" s="7"/>
    </row>
    <row r="2044" customFormat="false" ht="15" hidden="false" customHeight="false" outlineLevel="0" collapsed="false">
      <c r="A2044" s="6" t="str">
        <f aca="false">IF('DATA UNIT'!$B104="","",'DATA UNIT'!$B104)</f>
        <v>KT 8695 YS</v>
      </c>
      <c r="B2044" s="6" t="str">
        <f aca="false">IF($A2044="","",INDEX(PlanningItemsList,3))</f>
        <v>Service B</v>
      </c>
      <c r="C2044" s="7"/>
      <c r="D2044" s="7"/>
    </row>
    <row r="2045" customFormat="false" ht="15" hidden="false" customHeight="false" outlineLevel="0" collapsed="false">
      <c r="A2045" s="6" t="str">
        <f aca="false">IF('DATA UNIT'!$B104="","",'DATA UNIT'!$B104)</f>
        <v>KT 8695 YS</v>
      </c>
      <c r="B2045" s="6" t="str">
        <f aca="false">IF($A2045="","",INDEX(PlanningItemsList,4))</f>
        <v>Brake Pad</v>
      </c>
      <c r="C2045" s="7"/>
      <c r="D2045" s="7"/>
    </row>
    <row r="2046" customFormat="false" ht="15" hidden="false" customHeight="false" outlineLevel="0" collapsed="false">
      <c r="A2046" s="6" t="str">
        <f aca="false">IF('DATA UNIT'!$B104="","",'DATA UNIT'!$B104)</f>
        <v>KT 8695 YS</v>
      </c>
      <c r="B2046" s="6" t="str">
        <f aca="false">IF($A2046="","",INDEX(PlanningItemsList,5))</f>
        <v>Brake Shoe</v>
      </c>
      <c r="C2046" s="7"/>
      <c r="D2046" s="7"/>
    </row>
    <row r="2047" customFormat="false" ht="15" hidden="false" customHeight="false" outlineLevel="0" collapsed="false">
      <c r="A2047" s="6" t="str">
        <f aca="false">IF('DATA UNIT'!$B104="","",'DATA UNIT'!$B104)</f>
        <v>KT 8695 YS</v>
      </c>
      <c r="B2047" s="6" t="str">
        <f aca="false">IF($A2047="","",INDEX(PlanningItemsList,6))</f>
        <v>Accu</v>
      </c>
      <c r="C2047" s="7"/>
      <c r="D2047" s="7"/>
    </row>
    <row r="2048" customFormat="false" ht="15" hidden="false" customHeight="false" outlineLevel="0" collapsed="false">
      <c r="A2048" s="6" t="str">
        <f aca="false">IF('DATA UNIT'!$B104="","",'DATA UNIT'!$B104)</f>
        <v>KT 8695 YS</v>
      </c>
      <c r="B2048" s="6" t="str">
        <f aca="false">IF($A2048="","",INDEX(PlanningItemsList,7))</f>
        <v>Kampas Kopling Set</v>
      </c>
      <c r="C2048" s="7"/>
      <c r="D2048" s="7"/>
    </row>
    <row r="2049" customFormat="false" ht="15" hidden="false" customHeight="false" outlineLevel="0" collapsed="false">
      <c r="A2049" s="6" t="str">
        <f aca="false">IF('DATA UNIT'!$B104="","",'DATA UNIT'!$B104)</f>
        <v>KT 8695 YS</v>
      </c>
      <c r="B2049" s="6" t="str">
        <f aca="false">IF($A2049="","",INDEX(PlanningItemsList,8))</f>
        <v>Wiper Blade</v>
      </c>
      <c r="C2049" s="7"/>
      <c r="D2049" s="7"/>
    </row>
    <row r="2050" customFormat="false" ht="15" hidden="false" customHeight="false" outlineLevel="0" collapsed="false">
      <c r="A2050" s="6" t="str">
        <f aca="false">IF('DATA UNIT'!$B104="","",'DATA UNIT'!$B104)</f>
        <v>KT 8695 YS</v>
      </c>
      <c r="B2050" s="6" t="str">
        <f aca="false">IF($A2050="","",INDEX(PlanningItemsList,9))</f>
        <v>Ban Depan</v>
      </c>
      <c r="C2050" s="7"/>
      <c r="D2050" s="7"/>
    </row>
    <row r="2051" customFormat="false" ht="15" hidden="false" customHeight="false" outlineLevel="0" collapsed="false">
      <c r="A2051" s="6" t="str">
        <f aca="false">IF('DATA UNIT'!$B104="","",'DATA UNIT'!$B104)</f>
        <v>KT 8695 YS</v>
      </c>
      <c r="B2051" s="6" t="str">
        <f aca="false">IF($A2051="","",INDEX(PlanningItemsList,10))</f>
        <v>Ban Belakang</v>
      </c>
      <c r="C2051" s="7"/>
      <c r="D2051" s="7"/>
    </row>
    <row r="2052" customFormat="false" ht="15" hidden="false" customHeight="false" outlineLevel="0" collapsed="false">
      <c r="A2052" s="6" t="str">
        <f aca="false">IF('DATA UNIT'!$B104="","",'DATA UNIT'!$B104)</f>
        <v>KT 8695 YS</v>
      </c>
      <c r="B2052" s="6" t="str">
        <f aca="false">IF($A2052="","",INDEX(PlanningItemsList,11))</f>
        <v>Ban Serep</v>
      </c>
      <c r="C2052" s="7"/>
      <c r="D2052" s="7"/>
    </row>
    <row r="2053" customFormat="false" ht="15" hidden="false" customHeight="false" outlineLevel="0" collapsed="false">
      <c r="A2053" s="6" t="str">
        <f aca="false">IF('DATA UNIT'!$B104="","",'DATA UNIT'!$B104)</f>
        <v>KT 8695 YS</v>
      </c>
      <c r="B2053" s="6" t="str">
        <f aca="false">IF($A2053="","",INDEX(PlanningItemsList,12))</f>
        <v>Greasing</v>
      </c>
      <c r="C2053" s="7"/>
      <c r="D2053" s="7"/>
    </row>
    <row r="2054" customFormat="false" ht="15" hidden="false" customHeight="false" outlineLevel="0" collapsed="false">
      <c r="A2054" s="6" t="str">
        <f aca="false">IF('DATA UNIT'!$B104="","",'DATA UNIT'!$B104)</f>
        <v>KT 8695 YS</v>
      </c>
      <c r="B2054" s="6" t="str">
        <f aca="false">IF($A2054="","",INDEX(PlanningItemsList,13))</f>
        <v>V-Belt</v>
      </c>
      <c r="C2054" s="7"/>
      <c r="D2054" s="7"/>
    </row>
    <row r="2055" customFormat="false" ht="15" hidden="false" customHeight="false" outlineLevel="0" collapsed="false">
      <c r="A2055" s="6" t="str">
        <f aca="false">IF('DATA UNIT'!$B104="","",'DATA UNIT'!$B104)</f>
        <v>KT 8695 YS</v>
      </c>
      <c r="B2055" s="6" t="str">
        <f aca="false">IF($A2055="","",INDEX(PlanningItemsList,14))</f>
        <v>Sarung Jok</v>
      </c>
      <c r="C2055" s="7"/>
      <c r="D2055" s="7"/>
    </row>
    <row r="2056" customFormat="false" ht="15" hidden="false" customHeight="false" outlineLevel="0" collapsed="false">
      <c r="A2056" s="6" t="str">
        <f aca="false">IF('DATA UNIT'!$B104="","",'DATA UNIT'!$B104)</f>
        <v>KT 8695 YS</v>
      </c>
      <c r="B2056" s="6" t="str">
        <f aca="false">IF($A2056="","",INDEX(PlanningItemsList,15))</f>
        <v>Karpet Karet</v>
      </c>
      <c r="C2056" s="7"/>
      <c r="D2056" s="7"/>
    </row>
    <row r="2057" customFormat="false" ht="15" hidden="false" customHeight="false" outlineLevel="0" collapsed="false">
      <c r="A2057" s="6" t="str">
        <f aca="false">IF('DATA UNIT'!$B104="","",'DATA UNIT'!$B104)</f>
        <v>KT 8695 YS</v>
      </c>
      <c r="B2057" s="6" t="str">
        <f aca="false">IF($A2057="","",INDEX(PlanningItemsList,16))</f>
        <v>Karpet Dasar</v>
      </c>
      <c r="C2057" s="7"/>
      <c r="D2057" s="7"/>
    </row>
    <row r="2058" customFormat="false" ht="15" hidden="false" customHeight="false" outlineLevel="0" collapsed="false">
      <c r="A2058" s="6" t="str">
        <f aca="false">IF('DATA UNIT'!$B104="","",'DATA UNIT'!$B104)</f>
        <v>KT 8695 YS</v>
      </c>
      <c r="B2058" s="6" t="str">
        <f aca="false">IF($A2058="","",INDEX(PlanningItemsList,17))</f>
        <v>Flushing Radiator</v>
      </c>
      <c r="C2058" s="7"/>
      <c r="D2058" s="7"/>
    </row>
    <row r="2059" customFormat="false" ht="15" hidden="false" customHeight="false" outlineLevel="0" collapsed="false">
      <c r="A2059" s="6" t="str">
        <f aca="false">IF('DATA UNIT'!$B104="","",'DATA UNIT'!$B104)</f>
        <v>KT 8695 YS</v>
      </c>
      <c r="B2059" s="6" t="str">
        <f aca="false">IF($A2059="","",INDEX(PlanningItemsList,18))</f>
        <v>Flushing Steering</v>
      </c>
      <c r="C2059" s="7"/>
      <c r="D2059" s="7"/>
    </row>
    <row r="2060" customFormat="false" ht="15" hidden="false" customHeight="false" outlineLevel="0" collapsed="false">
      <c r="A2060" s="6" t="str">
        <f aca="false">IF('DATA UNIT'!$B104="","",'DATA UNIT'!$B104)</f>
        <v>KT 8695 YS</v>
      </c>
      <c r="B2060" s="6" t="str">
        <f aca="false">IF($A2060="","",INDEX(PlanningItemsList,19))</f>
        <v>Flushing Injector</v>
      </c>
      <c r="C2060" s="7"/>
      <c r="D2060" s="7"/>
    </row>
    <row r="2061" customFormat="false" ht="15" hidden="false" customHeight="false" outlineLevel="0" collapsed="false">
      <c r="A2061" s="6" t="str">
        <f aca="false">IF('DATA UNIT'!$B104="","",'DATA UNIT'!$B104)</f>
        <v>KT 8695 YS</v>
      </c>
      <c r="B2061" s="6" t="str">
        <f aca="false">IF($A2061="","",INDEX(PlanningItemsList,20))</f>
        <v>Flushing Rem</v>
      </c>
      <c r="C2061" s="7"/>
      <c r="D2061" s="7"/>
    </row>
    <row r="2062" customFormat="false" ht="15" hidden="false" customHeight="false" outlineLevel="0" collapsed="false">
      <c r="A2062" s="6" t="str">
        <f aca="false">IF('DATA UNIT'!$B105="","",'DATA UNIT'!$B105)</f>
        <v>KT 8698 YS</v>
      </c>
      <c r="B2062" s="6" t="str">
        <f aca="false">IF($A2062="","",INDEX(PlanningItemsList,1))</f>
        <v>PM Check / Reguler Services</v>
      </c>
      <c r="C2062" s="7"/>
      <c r="D2062" s="7"/>
    </row>
    <row r="2063" customFormat="false" ht="15" hidden="false" customHeight="false" outlineLevel="0" collapsed="false">
      <c r="A2063" s="6" t="str">
        <f aca="false">IF('DATA UNIT'!$B105="","",'DATA UNIT'!$B105)</f>
        <v>KT 8698 YS</v>
      </c>
      <c r="B2063" s="6" t="str">
        <f aca="false">IF($A2063="","",INDEX(PlanningItemsList,2))</f>
        <v>Service A</v>
      </c>
      <c r="C2063" s="7"/>
      <c r="D2063" s="7"/>
    </row>
    <row r="2064" customFormat="false" ht="15" hidden="false" customHeight="false" outlineLevel="0" collapsed="false">
      <c r="A2064" s="6" t="str">
        <f aca="false">IF('DATA UNIT'!$B105="","",'DATA UNIT'!$B105)</f>
        <v>KT 8698 YS</v>
      </c>
      <c r="B2064" s="6" t="str">
        <f aca="false">IF($A2064="","",INDEX(PlanningItemsList,3))</f>
        <v>Service B</v>
      </c>
      <c r="C2064" s="7"/>
      <c r="D2064" s="7"/>
    </row>
    <row r="2065" customFormat="false" ht="15" hidden="false" customHeight="false" outlineLevel="0" collapsed="false">
      <c r="A2065" s="6" t="str">
        <f aca="false">IF('DATA UNIT'!$B105="","",'DATA UNIT'!$B105)</f>
        <v>KT 8698 YS</v>
      </c>
      <c r="B2065" s="6" t="str">
        <f aca="false">IF($A2065="","",INDEX(PlanningItemsList,4))</f>
        <v>Brake Pad</v>
      </c>
      <c r="C2065" s="7"/>
      <c r="D2065" s="7"/>
    </row>
    <row r="2066" customFormat="false" ht="15" hidden="false" customHeight="false" outlineLevel="0" collapsed="false">
      <c r="A2066" s="6" t="str">
        <f aca="false">IF('DATA UNIT'!$B105="","",'DATA UNIT'!$B105)</f>
        <v>KT 8698 YS</v>
      </c>
      <c r="B2066" s="6" t="str">
        <f aca="false">IF($A2066="","",INDEX(PlanningItemsList,5))</f>
        <v>Brake Shoe</v>
      </c>
      <c r="C2066" s="7"/>
      <c r="D2066" s="7"/>
    </row>
    <row r="2067" customFormat="false" ht="15" hidden="false" customHeight="false" outlineLevel="0" collapsed="false">
      <c r="A2067" s="6" t="str">
        <f aca="false">IF('DATA UNIT'!$B105="","",'DATA UNIT'!$B105)</f>
        <v>KT 8698 YS</v>
      </c>
      <c r="B2067" s="6" t="str">
        <f aca="false">IF($A2067="","",INDEX(PlanningItemsList,6))</f>
        <v>Accu</v>
      </c>
      <c r="C2067" s="7"/>
      <c r="D2067" s="7"/>
    </row>
    <row r="2068" customFormat="false" ht="15" hidden="false" customHeight="false" outlineLevel="0" collapsed="false">
      <c r="A2068" s="6" t="str">
        <f aca="false">IF('DATA UNIT'!$B105="","",'DATA UNIT'!$B105)</f>
        <v>KT 8698 YS</v>
      </c>
      <c r="B2068" s="6" t="str">
        <f aca="false">IF($A2068="","",INDEX(PlanningItemsList,7))</f>
        <v>Kampas Kopling Set</v>
      </c>
      <c r="C2068" s="7"/>
      <c r="D2068" s="7"/>
    </row>
    <row r="2069" customFormat="false" ht="15" hidden="false" customHeight="false" outlineLevel="0" collapsed="false">
      <c r="A2069" s="6" t="str">
        <f aca="false">IF('DATA UNIT'!$B105="","",'DATA UNIT'!$B105)</f>
        <v>KT 8698 YS</v>
      </c>
      <c r="B2069" s="6" t="str">
        <f aca="false">IF($A2069="","",INDEX(PlanningItemsList,8))</f>
        <v>Wiper Blade</v>
      </c>
      <c r="C2069" s="7"/>
      <c r="D2069" s="7"/>
    </row>
    <row r="2070" customFormat="false" ht="15" hidden="false" customHeight="false" outlineLevel="0" collapsed="false">
      <c r="A2070" s="6" t="str">
        <f aca="false">IF('DATA UNIT'!$B105="","",'DATA UNIT'!$B105)</f>
        <v>KT 8698 YS</v>
      </c>
      <c r="B2070" s="6" t="str">
        <f aca="false">IF($A2070="","",INDEX(PlanningItemsList,9))</f>
        <v>Ban Depan</v>
      </c>
      <c r="C2070" s="7"/>
      <c r="D2070" s="7"/>
    </row>
    <row r="2071" customFormat="false" ht="15" hidden="false" customHeight="false" outlineLevel="0" collapsed="false">
      <c r="A2071" s="6" t="str">
        <f aca="false">IF('DATA UNIT'!$B105="","",'DATA UNIT'!$B105)</f>
        <v>KT 8698 YS</v>
      </c>
      <c r="B2071" s="6" t="str">
        <f aca="false">IF($A2071="","",INDEX(PlanningItemsList,10))</f>
        <v>Ban Belakang</v>
      </c>
      <c r="C2071" s="7"/>
      <c r="D2071" s="7"/>
    </row>
    <row r="2072" customFormat="false" ht="15" hidden="false" customHeight="false" outlineLevel="0" collapsed="false">
      <c r="A2072" s="6" t="str">
        <f aca="false">IF('DATA UNIT'!$B105="","",'DATA UNIT'!$B105)</f>
        <v>KT 8698 YS</v>
      </c>
      <c r="B2072" s="6" t="str">
        <f aca="false">IF($A2072="","",INDEX(PlanningItemsList,11))</f>
        <v>Ban Serep</v>
      </c>
      <c r="C2072" s="7"/>
      <c r="D2072" s="7"/>
    </row>
    <row r="2073" customFormat="false" ht="15" hidden="false" customHeight="false" outlineLevel="0" collapsed="false">
      <c r="A2073" s="6" t="str">
        <f aca="false">IF('DATA UNIT'!$B105="","",'DATA UNIT'!$B105)</f>
        <v>KT 8698 YS</v>
      </c>
      <c r="B2073" s="6" t="str">
        <f aca="false">IF($A2073="","",INDEX(PlanningItemsList,12))</f>
        <v>Greasing</v>
      </c>
      <c r="C2073" s="7"/>
      <c r="D2073" s="7"/>
    </row>
    <row r="2074" customFormat="false" ht="15" hidden="false" customHeight="false" outlineLevel="0" collapsed="false">
      <c r="A2074" s="6" t="str">
        <f aca="false">IF('DATA UNIT'!$B105="","",'DATA UNIT'!$B105)</f>
        <v>KT 8698 YS</v>
      </c>
      <c r="B2074" s="6" t="str">
        <f aca="false">IF($A2074="","",INDEX(PlanningItemsList,13))</f>
        <v>V-Belt</v>
      </c>
      <c r="C2074" s="7"/>
      <c r="D2074" s="7"/>
    </row>
    <row r="2075" customFormat="false" ht="15" hidden="false" customHeight="false" outlineLevel="0" collapsed="false">
      <c r="A2075" s="6" t="str">
        <f aca="false">IF('DATA UNIT'!$B105="","",'DATA UNIT'!$B105)</f>
        <v>KT 8698 YS</v>
      </c>
      <c r="B2075" s="6" t="str">
        <f aca="false">IF($A2075="","",INDEX(PlanningItemsList,14))</f>
        <v>Sarung Jok</v>
      </c>
      <c r="C2075" s="7"/>
      <c r="D2075" s="7"/>
    </row>
    <row r="2076" customFormat="false" ht="15" hidden="false" customHeight="false" outlineLevel="0" collapsed="false">
      <c r="A2076" s="6" t="str">
        <f aca="false">IF('DATA UNIT'!$B105="","",'DATA UNIT'!$B105)</f>
        <v>KT 8698 YS</v>
      </c>
      <c r="B2076" s="6" t="str">
        <f aca="false">IF($A2076="","",INDEX(PlanningItemsList,15))</f>
        <v>Karpet Karet</v>
      </c>
      <c r="C2076" s="7"/>
      <c r="D2076" s="7"/>
    </row>
    <row r="2077" customFormat="false" ht="15" hidden="false" customHeight="false" outlineLevel="0" collapsed="false">
      <c r="A2077" s="6" t="str">
        <f aca="false">IF('DATA UNIT'!$B105="","",'DATA UNIT'!$B105)</f>
        <v>KT 8698 YS</v>
      </c>
      <c r="B2077" s="6" t="str">
        <f aca="false">IF($A2077="","",INDEX(PlanningItemsList,16))</f>
        <v>Karpet Dasar</v>
      </c>
      <c r="C2077" s="7"/>
      <c r="D2077" s="7"/>
    </row>
    <row r="2078" customFormat="false" ht="15" hidden="false" customHeight="false" outlineLevel="0" collapsed="false">
      <c r="A2078" s="6" t="str">
        <f aca="false">IF('DATA UNIT'!$B105="","",'DATA UNIT'!$B105)</f>
        <v>KT 8698 YS</v>
      </c>
      <c r="B2078" s="6" t="str">
        <f aca="false">IF($A2078="","",INDEX(PlanningItemsList,17))</f>
        <v>Flushing Radiator</v>
      </c>
      <c r="C2078" s="7"/>
      <c r="D2078" s="7"/>
    </row>
    <row r="2079" customFormat="false" ht="15" hidden="false" customHeight="false" outlineLevel="0" collapsed="false">
      <c r="A2079" s="6" t="str">
        <f aca="false">IF('DATA UNIT'!$B105="","",'DATA UNIT'!$B105)</f>
        <v>KT 8698 YS</v>
      </c>
      <c r="B2079" s="6" t="str">
        <f aca="false">IF($A2079="","",INDEX(PlanningItemsList,18))</f>
        <v>Flushing Steering</v>
      </c>
      <c r="C2079" s="7"/>
      <c r="D2079" s="7"/>
    </row>
    <row r="2080" customFormat="false" ht="15" hidden="false" customHeight="false" outlineLevel="0" collapsed="false">
      <c r="A2080" s="6" t="str">
        <f aca="false">IF('DATA UNIT'!$B105="","",'DATA UNIT'!$B105)</f>
        <v>KT 8698 YS</v>
      </c>
      <c r="B2080" s="6" t="str">
        <f aca="false">IF($A2080="","",INDEX(PlanningItemsList,19))</f>
        <v>Flushing Injector</v>
      </c>
      <c r="C2080" s="7"/>
      <c r="D2080" s="7"/>
    </row>
    <row r="2081" customFormat="false" ht="15" hidden="false" customHeight="false" outlineLevel="0" collapsed="false">
      <c r="A2081" s="6" t="str">
        <f aca="false">IF('DATA UNIT'!$B105="","",'DATA UNIT'!$B105)</f>
        <v>KT 8698 YS</v>
      </c>
      <c r="B2081" s="6" t="str">
        <f aca="false">IF($A2081="","",INDEX(PlanningItemsList,20))</f>
        <v>Flushing Rem</v>
      </c>
      <c r="C2081" s="7"/>
      <c r="D2081" s="7"/>
    </row>
    <row r="2082" customFormat="false" ht="15" hidden="false" customHeight="false" outlineLevel="0" collapsed="false">
      <c r="A2082" s="6" t="str">
        <f aca="false">IF('DATA UNIT'!$B106="","",'DATA UNIT'!$B106)</f>
        <v>KT 8623 YY</v>
      </c>
      <c r="B2082" s="6" t="str">
        <f aca="false">IF($A2082="","",INDEX(PlanningItemsList,1))</f>
        <v>PM Check / Reguler Services</v>
      </c>
      <c r="C2082" s="7"/>
      <c r="D2082" s="7"/>
    </row>
    <row r="2083" customFormat="false" ht="15" hidden="false" customHeight="false" outlineLevel="0" collapsed="false">
      <c r="A2083" s="6" t="str">
        <f aca="false">IF('DATA UNIT'!$B106="","",'DATA UNIT'!$B106)</f>
        <v>KT 8623 YY</v>
      </c>
      <c r="B2083" s="6" t="str">
        <f aca="false">IF($A2083="","",INDEX(PlanningItemsList,2))</f>
        <v>Service A</v>
      </c>
      <c r="C2083" s="7"/>
      <c r="D2083" s="7"/>
    </row>
    <row r="2084" customFormat="false" ht="15" hidden="false" customHeight="false" outlineLevel="0" collapsed="false">
      <c r="A2084" s="6" t="str">
        <f aca="false">IF('DATA UNIT'!$B106="","",'DATA UNIT'!$B106)</f>
        <v>KT 8623 YY</v>
      </c>
      <c r="B2084" s="6" t="str">
        <f aca="false">IF($A2084="","",INDEX(PlanningItemsList,3))</f>
        <v>Service B</v>
      </c>
      <c r="C2084" s="7"/>
      <c r="D2084" s="7"/>
    </row>
    <row r="2085" customFormat="false" ht="15" hidden="false" customHeight="false" outlineLevel="0" collapsed="false">
      <c r="A2085" s="6" t="str">
        <f aca="false">IF('DATA UNIT'!$B106="","",'DATA UNIT'!$B106)</f>
        <v>KT 8623 YY</v>
      </c>
      <c r="B2085" s="6" t="str">
        <f aca="false">IF($A2085="","",INDEX(PlanningItemsList,4))</f>
        <v>Brake Pad</v>
      </c>
      <c r="C2085" s="7"/>
      <c r="D2085" s="7"/>
    </row>
    <row r="2086" customFormat="false" ht="15" hidden="false" customHeight="false" outlineLevel="0" collapsed="false">
      <c r="A2086" s="6" t="str">
        <f aca="false">IF('DATA UNIT'!$B106="","",'DATA UNIT'!$B106)</f>
        <v>KT 8623 YY</v>
      </c>
      <c r="B2086" s="6" t="str">
        <f aca="false">IF($A2086="","",INDEX(PlanningItemsList,5))</f>
        <v>Brake Shoe</v>
      </c>
      <c r="C2086" s="7"/>
      <c r="D2086" s="7"/>
    </row>
    <row r="2087" customFormat="false" ht="15" hidden="false" customHeight="false" outlineLevel="0" collapsed="false">
      <c r="A2087" s="6" t="str">
        <f aca="false">IF('DATA UNIT'!$B106="","",'DATA UNIT'!$B106)</f>
        <v>KT 8623 YY</v>
      </c>
      <c r="B2087" s="6" t="str">
        <f aca="false">IF($A2087="","",INDEX(PlanningItemsList,6))</f>
        <v>Accu</v>
      </c>
      <c r="C2087" s="7"/>
      <c r="D2087" s="7"/>
    </row>
    <row r="2088" customFormat="false" ht="15" hidden="false" customHeight="false" outlineLevel="0" collapsed="false">
      <c r="A2088" s="6" t="str">
        <f aca="false">IF('DATA UNIT'!$B106="","",'DATA UNIT'!$B106)</f>
        <v>KT 8623 YY</v>
      </c>
      <c r="B2088" s="6" t="str">
        <f aca="false">IF($A2088="","",INDEX(PlanningItemsList,7))</f>
        <v>Kampas Kopling Set</v>
      </c>
      <c r="C2088" s="7"/>
      <c r="D2088" s="7"/>
    </row>
    <row r="2089" customFormat="false" ht="15" hidden="false" customHeight="false" outlineLevel="0" collapsed="false">
      <c r="A2089" s="6" t="str">
        <f aca="false">IF('DATA UNIT'!$B106="","",'DATA UNIT'!$B106)</f>
        <v>KT 8623 YY</v>
      </c>
      <c r="B2089" s="6" t="str">
        <f aca="false">IF($A2089="","",INDEX(PlanningItemsList,8))</f>
        <v>Wiper Blade</v>
      </c>
      <c r="C2089" s="7"/>
      <c r="D2089" s="7"/>
    </row>
    <row r="2090" customFormat="false" ht="15" hidden="false" customHeight="false" outlineLevel="0" collapsed="false">
      <c r="A2090" s="6" t="str">
        <f aca="false">IF('DATA UNIT'!$B106="","",'DATA UNIT'!$B106)</f>
        <v>KT 8623 YY</v>
      </c>
      <c r="B2090" s="6" t="str">
        <f aca="false">IF($A2090="","",INDEX(PlanningItemsList,9))</f>
        <v>Ban Depan</v>
      </c>
      <c r="C2090" s="7"/>
      <c r="D2090" s="7"/>
    </row>
    <row r="2091" customFormat="false" ht="15" hidden="false" customHeight="false" outlineLevel="0" collapsed="false">
      <c r="A2091" s="6" t="str">
        <f aca="false">IF('DATA UNIT'!$B106="","",'DATA UNIT'!$B106)</f>
        <v>KT 8623 YY</v>
      </c>
      <c r="B2091" s="6" t="str">
        <f aca="false">IF($A2091="","",INDEX(PlanningItemsList,10))</f>
        <v>Ban Belakang</v>
      </c>
      <c r="C2091" s="7"/>
      <c r="D2091" s="7"/>
    </row>
    <row r="2092" customFormat="false" ht="15" hidden="false" customHeight="false" outlineLevel="0" collapsed="false">
      <c r="A2092" s="6" t="str">
        <f aca="false">IF('DATA UNIT'!$B106="","",'DATA UNIT'!$B106)</f>
        <v>KT 8623 YY</v>
      </c>
      <c r="B2092" s="6" t="str">
        <f aca="false">IF($A2092="","",INDEX(PlanningItemsList,11))</f>
        <v>Ban Serep</v>
      </c>
      <c r="C2092" s="7"/>
      <c r="D2092" s="7"/>
    </row>
    <row r="2093" customFormat="false" ht="15" hidden="false" customHeight="false" outlineLevel="0" collapsed="false">
      <c r="A2093" s="6" t="str">
        <f aca="false">IF('DATA UNIT'!$B106="","",'DATA UNIT'!$B106)</f>
        <v>KT 8623 YY</v>
      </c>
      <c r="B2093" s="6" t="str">
        <f aca="false">IF($A2093="","",INDEX(PlanningItemsList,12))</f>
        <v>Greasing</v>
      </c>
      <c r="C2093" s="7"/>
      <c r="D2093" s="7"/>
    </row>
    <row r="2094" customFormat="false" ht="15" hidden="false" customHeight="false" outlineLevel="0" collapsed="false">
      <c r="A2094" s="6" t="str">
        <f aca="false">IF('DATA UNIT'!$B106="","",'DATA UNIT'!$B106)</f>
        <v>KT 8623 YY</v>
      </c>
      <c r="B2094" s="6" t="str">
        <f aca="false">IF($A2094="","",INDEX(PlanningItemsList,13))</f>
        <v>V-Belt</v>
      </c>
      <c r="C2094" s="7"/>
      <c r="D2094" s="7"/>
    </row>
    <row r="2095" customFormat="false" ht="15" hidden="false" customHeight="false" outlineLevel="0" collapsed="false">
      <c r="A2095" s="6" t="str">
        <f aca="false">IF('DATA UNIT'!$B106="","",'DATA UNIT'!$B106)</f>
        <v>KT 8623 YY</v>
      </c>
      <c r="B2095" s="6" t="str">
        <f aca="false">IF($A2095="","",INDEX(PlanningItemsList,14))</f>
        <v>Sarung Jok</v>
      </c>
      <c r="C2095" s="7"/>
      <c r="D2095" s="7"/>
    </row>
    <row r="2096" customFormat="false" ht="15" hidden="false" customHeight="false" outlineLevel="0" collapsed="false">
      <c r="A2096" s="6" t="str">
        <f aca="false">IF('DATA UNIT'!$B106="","",'DATA UNIT'!$B106)</f>
        <v>KT 8623 YY</v>
      </c>
      <c r="B2096" s="6" t="str">
        <f aca="false">IF($A2096="","",INDEX(PlanningItemsList,15))</f>
        <v>Karpet Karet</v>
      </c>
      <c r="C2096" s="7"/>
      <c r="D2096" s="7"/>
    </row>
    <row r="2097" customFormat="false" ht="15" hidden="false" customHeight="false" outlineLevel="0" collapsed="false">
      <c r="A2097" s="6" t="str">
        <f aca="false">IF('DATA UNIT'!$B106="","",'DATA UNIT'!$B106)</f>
        <v>KT 8623 YY</v>
      </c>
      <c r="B2097" s="6" t="str">
        <f aca="false">IF($A2097="","",INDEX(PlanningItemsList,16))</f>
        <v>Karpet Dasar</v>
      </c>
      <c r="C2097" s="7"/>
      <c r="D2097" s="7"/>
    </row>
    <row r="2098" customFormat="false" ht="15" hidden="false" customHeight="false" outlineLevel="0" collapsed="false">
      <c r="A2098" s="6" t="str">
        <f aca="false">IF('DATA UNIT'!$B106="","",'DATA UNIT'!$B106)</f>
        <v>KT 8623 YY</v>
      </c>
      <c r="B2098" s="6" t="str">
        <f aca="false">IF($A2098="","",INDEX(PlanningItemsList,17))</f>
        <v>Flushing Radiator</v>
      </c>
      <c r="C2098" s="7"/>
      <c r="D2098" s="7"/>
    </row>
    <row r="2099" customFormat="false" ht="15" hidden="false" customHeight="false" outlineLevel="0" collapsed="false">
      <c r="A2099" s="6" t="str">
        <f aca="false">IF('DATA UNIT'!$B106="","",'DATA UNIT'!$B106)</f>
        <v>KT 8623 YY</v>
      </c>
      <c r="B2099" s="6" t="str">
        <f aca="false">IF($A2099="","",INDEX(PlanningItemsList,18))</f>
        <v>Flushing Steering</v>
      </c>
      <c r="C2099" s="7"/>
      <c r="D2099" s="7"/>
    </row>
    <row r="2100" customFormat="false" ht="15" hidden="false" customHeight="false" outlineLevel="0" collapsed="false">
      <c r="A2100" s="6" t="str">
        <f aca="false">IF('DATA UNIT'!$B106="","",'DATA UNIT'!$B106)</f>
        <v>KT 8623 YY</v>
      </c>
      <c r="B2100" s="6" t="str">
        <f aca="false">IF($A2100="","",INDEX(PlanningItemsList,19))</f>
        <v>Flushing Injector</v>
      </c>
      <c r="C2100" s="7"/>
      <c r="D2100" s="7"/>
    </row>
    <row r="2101" customFormat="false" ht="15" hidden="false" customHeight="false" outlineLevel="0" collapsed="false">
      <c r="A2101" s="6" t="str">
        <f aca="false">IF('DATA UNIT'!$B106="","",'DATA UNIT'!$B106)</f>
        <v>KT 8623 YY</v>
      </c>
      <c r="B2101" s="6" t="str">
        <f aca="false">IF($A2101="","",INDEX(PlanningItemsList,20))</f>
        <v>Flushing Rem</v>
      </c>
      <c r="C2101" s="7"/>
      <c r="D2101" s="7"/>
    </row>
    <row r="2102" customFormat="false" ht="15" hidden="false" customHeight="false" outlineLevel="0" collapsed="false">
      <c r="A2102" s="6" t="str">
        <f aca="false">IF('DATA UNIT'!$B107="","",'DATA UNIT'!$B107)</f>
        <v>DD 8184 SQ</v>
      </c>
      <c r="B2102" s="6" t="str">
        <f aca="false">IF($A2102="","",INDEX(PlanningItemsList,1))</f>
        <v>PM Check / Reguler Services</v>
      </c>
      <c r="C2102" s="7"/>
      <c r="D2102" s="7"/>
    </row>
    <row r="2103" customFormat="false" ht="15" hidden="false" customHeight="false" outlineLevel="0" collapsed="false">
      <c r="A2103" s="6" t="str">
        <f aca="false">IF('DATA UNIT'!$B107="","",'DATA UNIT'!$B107)</f>
        <v>DD 8184 SQ</v>
      </c>
      <c r="B2103" s="6" t="str">
        <f aca="false">IF($A2103="","",INDEX(PlanningItemsList,2))</f>
        <v>Service A</v>
      </c>
      <c r="C2103" s="7"/>
      <c r="D2103" s="7"/>
    </row>
    <row r="2104" customFormat="false" ht="15" hidden="false" customHeight="false" outlineLevel="0" collapsed="false">
      <c r="A2104" s="6" t="str">
        <f aca="false">IF('DATA UNIT'!$B107="","",'DATA UNIT'!$B107)</f>
        <v>DD 8184 SQ</v>
      </c>
      <c r="B2104" s="6" t="str">
        <f aca="false">IF($A2104="","",INDEX(PlanningItemsList,3))</f>
        <v>Service B</v>
      </c>
      <c r="C2104" s="7"/>
      <c r="D2104" s="7"/>
    </row>
    <row r="2105" customFormat="false" ht="15" hidden="false" customHeight="false" outlineLevel="0" collapsed="false">
      <c r="A2105" s="6" t="str">
        <f aca="false">IF('DATA UNIT'!$B107="","",'DATA UNIT'!$B107)</f>
        <v>DD 8184 SQ</v>
      </c>
      <c r="B2105" s="6" t="str">
        <f aca="false">IF($A2105="","",INDEX(PlanningItemsList,4))</f>
        <v>Brake Pad</v>
      </c>
      <c r="C2105" s="7"/>
      <c r="D2105" s="7"/>
    </row>
    <row r="2106" customFormat="false" ht="15" hidden="false" customHeight="false" outlineLevel="0" collapsed="false">
      <c r="A2106" s="6" t="str">
        <f aca="false">IF('DATA UNIT'!$B107="","",'DATA UNIT'!$B107)</f>
        <v>DD 8184 SQ</v>
      </c>
      <c r="B2106" s="6" t="str">
        <f aca="false">IF($A2106="","",INDEX(PlanningItemsList,5))</f>
        <v>Brake Shoe</v>
      </c>
      <c r="C2106" s="7"/>
      <c r="D2106" s="7"/>
    </row>
    <row r="2107" customFormat="false" ht="15" hidden="false" customHeight="false" outlineLevel="0" collapsed="false">
      <c r="A2107" s="6" t="str">
        <f aca="false">IF('DATA UNIT'!$B107="","",'DATA UNIT'!$B107)</f>
        <v>DD 8184 SQ</v>
      </c>
      <c r="B2107" s="6" t="str">
        <f aca="false">IF($A2107="","",INDEX(PlanningItemsList,6))</f>
        <v>Accu</v>
      </c>
      <c r="C2107" s="7"/>
      <c r="D2107" s="7"/>
    </row>
    <row r="2108" customFormat="false" ht="15" hidden="false" customHeight="false" outlineLevel="0" collapsed="false">
      <c r="A2108" s="6" t="str">
        <f aca="false">IF('DATA UNIT'!$B107="","",'DATA UNIT'!$B107)</f>
        <v>DD 8184 SQ</v>
      </c>
      <c r="B2108" s="6" t="str">
        <f aca="false">IF($A2108="","",INDEX(PlanningItemsList,7))</f>
        <v>Kampas Kopling Set</v>
      </c>
      <c r="C2108" s="7"/>
      <c r="D2108" s="7"/>
    </row>
    <row r="2109" customFormat="false" ht="15" hidden="false" customHeight="false" outlineLevel="0" collapsed="false">
      <c r="A2109" s="6" t="str">
        <f aca="false">IF('DATA UNIT'!$B107="","",'DATA UNIT'!$B107)</f>
        <v>DD 8184 SQ</v>
      </c>
      <c r="B2109" s="6" t="str">
        <f aca="false">IF($A2109="","",INDEX(PlanningItemsList,8))</f>
        <v>Wiper Blade</v>
      </c>
      <c r="C2109" s="7"/>
      <c r="D2109" s="7"/>
    </row>
    <row r="2110" customFormat="false" ht="15" hidden="false" customHeight="false" outlineLevel="0" collapsed="false">
      <c r="A2110" s="6" t="str">
        <f aca="false">IF('DATA UNIT'!$B107="","",'DATA UNIT'!$B107)</f>
        <v>DD 8184 SQ</v>
      </c>
      <c r="B2110" s="6" t="str">
        <f aca="false">IF($A2110="","",INDEX(PlanningItemsList,9))</f>
        <v>Ban Depan</v>
      </c>
      <c r="C2110" s="7"/>
      <c r="D2110" s="7"/>
    </row>
    <row r="2111" customFormat="false" ht="15" hidden="false" customHeight="false" outlineLevel="0" collapsed="false">
      <c r="A2111" s="6" t="str">
        <f aca="false">IF('DATA UNIT'!$B107="","",'DATA UNIT'!$B107)</f>
        <v>DD 8184 SQ</v>
      </c>
      <c r="B2111" s="6" t="str">
        <f aca="false">IF($A2111="","",INDEX(PlanningItemsList,10))</f>
        <v>Ban Belakang</v>
      </c>
      <c r="C2111" s="7"/>
      <c r="D2111" s="7"/>
    </row>
    <row r="2112" customFormat="false" ht="15" hidden="false" customHeight="false" outlineLevel="0" collapsed="false">
      <c r="A2112" s="6" t="str">
        <f aca="false">IF('DATA UNIT'!$B107="","",'DATA UNIT'!$B107)</f>
        <v>DD 8184 SQ</v>
      </c>
      <c r="B2112" s="6" t="str">
        <f aca="false">IF($A2112="","",INDEX(PlanningItemsList,11))</f>
        <v>Ban Serep</v>
      </c>
      <c r="C2112" s="7"/>
      <c r="D2112" s="7"/>
    </row>
    <row r="2113" customFormat="false" ht="15" hidden="false" customHeight="false" outlineLevel="0" collapsed="false">
      <c r="A2113" s="6" t="str">
        <f aca="false">IF('DATA UNIT'!$B107="","",'DATA UNIT'!$B107)</f>
        <v>DD 8184 SQ</v>
      </c>
      <c r="B2113" s="6" t="str">
        <f aca="false">IF($A2113="","",INDEX(PlanningItemsList,12))</f>
        <v>Greasing</v>
      </c>
      <c r="C2113" s="7"/>
      <c r="D2113" s="7"/>
    </row>
    <row r="2114" customFormat="false" ht="15" hidden="false" customHeight="false" outlineLevel="0" collapsed="false">
      <c r="A2114" s="6" t="str">
        <f aca="false">IF('DATA UNIT'!$B107="","",'DATA UNIT'!$B107)</f>
        <v>DD 8184 SQ</v>
      </c>
      <c r="B2114" s="6" t="str">
        <f aca="false">IF($A2114="","",INDEX(PlanningItemsList,13))</f>
        <v>V-Belt</v>
      </c>
      <c r="C2114" s="7"/>
      <c r="D2114" s="7"/>
    </row>
    <row r="2115" customFormat="false" ht="15" hidden="false" customHeight="false" outlineLevel="0" collapsed="false">
      <c r="A2115" s="6" t="str">
        <f aca="false">IF('DATA UNIT'!$B107="","",'DATA UNIT'!$B107)</f>
        <v>DD 8184 SQ</v>
      </c>
      <c r="B2115" s="6" t="str">
        <f aca="false">IF($A2115="","",INDEX(PlanningItemsList,14))</f>
        <v>Sarung Jok</v>
      </c>
      <c r="C2115" s="7"/>
      <c r="D2115" s="7"/>
    </row>
    <row r="2116" customFormat="false" ht="15" hidden="false" customHeight="false" outlineLevel="0" collapsed="false">
      <c r="A2116" s="6" t="str">
        <f aca="false">IF('DATA UNIT'!$B107="","",'DATA UNIT'!$B107)</f>
        <v>DD 8184 SQ</v>
      </c>
      <c r="B2116" s="6" t="str">
        <f aca="false">IF($A2116="","",INDEX(PlanningItemsList,15))</f>
        <v>Karpet Karet</v>
      </c>
      <c r="C2116" s="7"/>
      <c r="D2116" s="7"/>
    </row>
    <row r="2117" customFormat="false" ht="15" hidden="false" customHeight="false" outlineLevel="0" collapsed="false">
      <c r="A2117" s="6" t="str">
        <f aca="false">IF('DATA UNIT'!$B107="","",'DATA UNIT'!$B107)</f>
        <v>DD 8184 SQ</v>
      </c>
      <c r="B2117" s="6" t="str">
        <f aca="false">IF($A2117="","",INDEX(PlanningItemsList,16))</f>
        <v>Karpet Dasar</v>
      </c>
      <c r="C2117" s="7"/>
      <c r="D2117" s="7"/>
    </row>
    <row r="2118" customFormat="false" ht="15" hidden="false" customHeight="false" outlineLevel="0" collapsed="false">
      <c r="A2118" s="6" t="str">
        <f aca="false">IF('DATA UNIT'!$B107="","",'DATA UNIT'!$B107)</f>
        <v>DD 8184 SQ</v>
      </c>
      <c r="B2118" s="6" t="str">
        <f aca="false">IF($A2118="","",INDEX(PlanningItemsList,17))</f>
        <v>Flushing Radiator</v>
      </c>
      <c r="C2118" s="7"/>
      <c r="D2118" s="7"/>
    </row>
    <row r="2119" customFormat="false" ht="15" hidden="false" customHeight="false" outlineLevel="0" collapsed="false">
      <c r="A2119" s="6" t="str">
        <f aca="false">IF('DATA UNIT'!$B107="","",'DATA UNIT'!$B107)</f>
        <v>DD 8184 SQ</v>
      </c>
      <c r="B2119" s="6" t="str">
        <f aca="false">IF($A2119="","",INDEX(PlanningItemsList,18))</f>
        <v>Flushing Steering</v>
      </c>
      <c r="C2119" s="7"/>
      <c r="D2119" s="7"/>
    </row>
    <row r="2120" customFormat="false" ht="15" hidden="false" customHeight="false" outlineLevel="0" collapsed="false">
      <c r="A2120" s="6" t="str">
        <f aca="false">IF('DATA UNIT'!$B107="","",'DATA UNIT'!$B107)</f>
        <v>DD 8184 SQ</v>
      </c>
      <c r="B2120" s="6" t="str">
        <f aca="false">IF($A2120="","",INDEX(PlanningItemsList,19))</f>
        <v>Flushing Injector</v>
      </c>
      <c r="C2120" s="7"/>
      <c r="D2120" s="7"/>
    </row>
    <row r="2121" customFormat="false" ht="15" hidden="false" customHeight="false" outlineLevel="0" collapsed="false">
      <c r="A2121" s="6" t="str">
        <f aca="false">IF('DATA UNIT'!$B107="","",'DATA UNIT'!$B107)</f>
        <v>DD 8184 SQ</v>
      </c>
      <c r="B2121" s="6" t="str">
        <f aca="false">IF($A2121="","",INDEX(PlanningItemsList,20))</f>
        <v>Flushing Rem</v>
      </c>
      <c r="C2121" s="7"/>
      <c r="D2121" s="7"/>
    </row>
    <row r="2122" customFormat="false" ht="15" hidden="false" customHeight="false" outlineLevel="0" collapsed="false">
      <c r="A2122" s="6" t="str">
        <f aca="false">IF('DATA UNIT'!$B108="","",'DATA UNIT'!$B108)</f>
        <v>KT 8626 YT</v>
      </c>
      <c r="B2122" s="6" t="str">
        <f aca="false">IF($A2122="","",INDEX(PlanningItemsList,1))</f>
        <v>PM Check / Reguler Services</v>
      </c>
      <c r="C2122" s="7"/>
      <c r="D2122" s="7"/>
    </row>
    <row r="2123" customFormat="false" ht="15" hidden="false" customHeight="false" outlineLevel="0" collapsed="false">
      <c r="A2123" s="6" t="str">
        <f aca="false">IF('DATA UNIT'!$B108="","",'DATA UNIT'!$B108)</f>
        <v>KT 8626 YT</v>
      </c>
      <c r="B2123" s="6" t="str">
        <f aca="false">IF($A2123="","",INDEX(PlanningItemsList,2))</f>
        <v>Service A</v>
      </c>
      <c r="C2123" s="7"/>
      <c r="D2123" s="7"/>
    </row>
    <row r="2124" customFormat="false" ht="15" hidden="false" customHeight="false" outlineLevel="0" collapsed="false">
      <c r="A2124" s="6" t="str">
        <f aca="false">IF('DATA UNIT'!$B108="","",'DATA UNIT'!$B108)</f>
        <v>KT 8626 YT</v>
      </c>
      <c r="B2124" s="6" t="str">
        <f aca="false">IF($A2124="","",INDEX(PlanningItemsList,3))</f>
        <v>Service B</v>
      </c>
      <c r="C2124" s="7"/>
      <c r="D2124" s="7"/>
    </row>
    <row r="2125" customFormat="false" ht="15" hidden="false" customHeight="false" outlineLevel="0" collapsed="false">
      <c r="A2125" s="6" t="str">
        <f aca="false">IF('DATA UNIT'!$B108="","",'DATA UNIT'!$B108)</f>
        <v>KT 8626 YT</v>
      </c>
      <c r="B2125" s="6" t="str">
        <f aca="false">IF($A2125="","",INDEX(PlanningItemsList,4))</f>
        <v>Brake Pad</v>
      </c>
      <c r="C2125" s="7"/>
      <c r="D2125" s="7"/>
    </row>
    <row r="2126" customFormat="false" ht="15" hidden="false" customHeight="false" outlineLevel="0" collapsed="false">
      <c r="A2126" s="6" t="str">
        <f aca="false">IF('DATA UNIT'!$B108="","",'DATA UNIT'!$B108)</f>
        <v>KT 8626 YT</v>
      </c>
      <c r="B2126" s="6" t="str">
        <f aca="false">IF($A2126="","",INDEX(PlanningItemsList,5))</f>
        <v>Brake Shoe</v>
      </c>
      <c r="C2126" s="7"/>
      <c r="D2126" s="7"/>
    </row>
    <row r="2127" customFormat="false" ht="15" hidden="false" customHeight="false" outlineLevel="0" collapsed="false">
      <c r="A2127" s="6" t="str">
        <f aca="false">IF('DATA UNIT'!$B108="","",'DATA UNIT'!$B108)</f>
        <v>KT 8626 YT</v>
      </c>
      <c r="B2127" s="6" t="str">
        <f aca="false">IF($A2127="","",INDEX(PlanningItemsList,6))</f>
        <v>Accu</v>
      </c>
      <c r="C2127" s="7"/>
      <c r="D2127" s="7"/>
    </row>
    <row r="2128" customFormat="false" ht="15" hidden="false" customHeight="false" outlineLevel="0" collapsed="false">
      <c r="A2128" s="6" t="str">
        <f aca="false">IF('DATA UNIT'!$B108="","",'DATA UNIT'!$B108)</f>
        <v>KT 8626 YT</v>
      </c>
      <c r="B2128" s="6" t="str">
        <f aca="false">IF($A2128="","",INDEX(PlanningItemsList,7))</f>
        <v>Kampas Kopling Set</v>
      </c>
      <c r="C2128" s="7"/>
      <c r="D2128" s="7"/>
    </row>
    <row r="2129" customFormat="false" ht="15" hidden="false" customHeight="false" outlineLevel="0" collapsed="false">
      <c r="A2129" s="6" t="str">
        <f aca="false">IF('DATA UNIT'!$B108="","",'DATA UNIT'!$B108)</f>
        <v>KT 8626 YT</v>
      </c>
      <c r="B2129" s="6" t="str">
        <f aca="false">IF($A2129="","",INDEX(PlanningItemsList,8))</f>
        <v>Wiper Blade</v>
      </c>
      <c r="C2129" s="7"/>
      <c r="D2129" s="7"/>
    </row>
    <row r="2130" customFormat="false" ht="15" hidden="false" customHeight="false" outlineLevel="0" collapsed="false">
      <c r="A2130" s="6" t="str">
        <f aca="false">IF('DATA UNIT'!$B108="","",'DATA UNIT'!$B108)</f>
        <v>KT 8626 YT</v>
      </c>
      <c r="B2130" s="6" t="str">
        <f aca="false">IF($A2130="","",INDEX(PlanningItemsList,9))</f>
        <v>Ban Depan</v>
      </c>
      <c r="C2130" s="7"/>
      <c r="D2130" s="7"/>
    </row>
    <row r="2131" customFormat="false" ht="15" hidden="false" customHeight="false" outlineLevel="0" collapsed="false">
      <c r="A2131" s="6" t="str">
        <f aca="false">IF('DATA UNIT'!$B108="","",'DATA UNIT'!$B108)</f>
        <v>KT 8626 YT</v>
      </c>
      <c r="B2131" s="6" t="str">
        <f aca="false">IF($A2131="","",INDEX(PlanningItemsList,10))</f>
        <v>Ban Belakang</v>
      </c>
      <c r="C2131" s="7"/>
      <c r="D2131" s="7"/>
    </row>
    <row r="2132" customFormat="false" ht="15" hidden="false" customHeight="false" outlineLevel="0" collapsed="false">
      <c r="A2132" s="6" t="str">
        <f aca="false">IF('DATA UNIT'!$B108="","",'DATA UNIT'!$B108)</f>
        <v>KT 8626 YT</v>
      </c>
      <c r="B2132" s="6" t="str">
        <f aca="false">IF($A2132="","",INDEX(PlanningItemsList,11))</f>
        <v>Ban Serep</v>
      </c>
      <c r="C2132" s="7"/>
      <c r="D2132" s="7"/>
    </row>
    <row r="2133" customFormat="false" ht="15" hidden="false" customHeight="false" outlineLevel="0" collapsed="false">
      <c r="A2133" s="6" t="str">
        <f aca="false">IF('DATA UNIT'!$B108="","",'DATA UNIT'!$B108)</f>
        <v>KT 8626 YT</v>
      </c>
      <c r="B2133" s="6" t="str">
        <f aca="false">IF($A2133="","",INDEX(PlanningItemsList,12))</f>
        <v>Greasing</v>
      </c>
      <c r="C2133" s="7"/>
      <c r="D2133" s="7"/>
    </row>
    <row r="2134" customFormat="false" ht="15" hidden="false" customHeight="false" outlineLevel="0" collapsed="false">
      <c r="A2134" s="6" t="str">
        <f aca="false">IF('DATA UNIT'!$B108="","",'DATA UNIT'!$B108)</f>
        <v>KT 8626 YT</v>
      </c>
      <c r="B2134" s="6" t="str">
        <f aca="false">IF($A2134="","",INDEX(PlanningItemsList,13))</f>
        <v>V-Belt</v>
      </c>
      <c r="C2134" s="7"/>
      <c r="D2134" s="7"/>
    </row>
    <row r="2135" customFormat="false" ht="15" hidden="false" customHeight="false" outlineLevel="0" collapsed="false">
      <c r="A2135" s="6" t="str">
        <f aca="false">IF('DATA UNIT'!$B108="","",'DATA UNIT'!$B108)</f>
        <v>KT 8626 YT</v>
      </c>
      <c r="B2135" s="6" t="str">
        <f aca="false">IF($A2135="","",INDEX(PlanningItemsList,14))</f>
        <v>Sarung Jok</v>
      </c>
      <c r="C2135" s="7"/>
      <c r="D2135" s="7"/>
    </row>
    <row r="2136" customFormat="false" ht="15" hidden="false" customHeight="false" outlineLevel="0" collapsed="false">
      <c r="A2136" s="6" t="str">
        <f aca="false">IF('DATA UNIT'!$B108="","",'DATA UNIT'!$B108)</f>
        <v>KT 8626 YT</v>
      </c>
      <c r="B2136" s="6" t="str">
        <f aca="false">IF($A2136="","",INDEX(PlanningItemsList,15))</f>
        <v>Karpet Karet</v>
      </c>
      <c r="C2136" s="7"/>
      <c r="D2136" s="7"/>
    </row>
    <row r="2137" customFormat="false" ht="15" hidden="false" customHeight="false" outlineLevel="0" collapsed="false">
      <c r="A2137" s="6" t="str">
        <f aca="false">IF('DATA UNIT'!$B108="","",'DATA UNIT'!$B108)</f>
        <v>KT 8626 YT</v>
      </c>
      <c r="B2137" s="6" t="str">
        <f aca="false">IF($A2137="","",INDEX(PlanningItemsList,16))</f>
        <v>Karpet Dasar</v>
      </c>
      <c r="C2137" s="7"/>
      <c r="D2137" s="7"/>
    </row>
    <row r="2138" customFormat="false" ht="15" hidden="false" customHeight="false" outlineLevel="0" collapsed="false">
      <c r="A2138" s="6" t="str">
        <f aca="false">IF('DATA UNIT'!$B108="","",'DATA UNIT'!$B108)</f>
        <v>KT 8626 YT</v>
      </c>
      <c r="B2138" s="6" t="str">
        <f aca="false">IF($A2138="","",INDEX(PlanningItemsList,17))</f>
        <v>Flushing Radiator</v>
      </c>
      <c r="C2138" s="7"/>
      <c r="D2138" s="7"/>
    </row>
    <row r="2139" customFormat="false" ht="15" hidden="false" customHeight="false" outlineLevel="0" collapsed="false">
      <c r="A2139" s="6" t="str">
        <f aca="false">IF('DATA UNIT'!$B108="","",'DATA UNIT'!$B108)</f>
        <v>KT 8626 YT</v>
      </c>
      <c r="B2139" s="6" t="str">
        <f aca="false">IF($A2139="","",INDEX(PlanningItemsList,18))</f>
        <v>Flushing Steering</v>
      </c>
      <c r="C2139" s="7"/>
      <c r="D2139" s="7"/>
    </row>
    <row r="2140" customFormat="false" ht="15" hidden="false" customHeight="false" outlineLevel="0" collapsed="false">
      <c r="A2140" s="6" t="str">
        <f aca="false">IF('DATA UNIT'!$B108="","",'DATA UNIT'!$B108)</f>
        <v>KT 8626 YT</v>
      </c>
      <c r="B2140" s="6" t="str">
        <f aca="false">IF($A2140="","",INDEX(PlanningItemsList,19))</f>
        <v>Flushing Injector</v>
      </c>
      <c r="C2140" s="7"/>
      <c r="D2140" s="7"/>
    </row>
    <row r="2141" customFormat="false" ht="15" hidden="false" customHeight="false" outlineLevel="0" collapsed="false">
      <c r="A2141" s="6" t="str">
        <f aca="false">IF('DATA UNIT'!$B108="","",'DATA UNIT'!$B108)</f>
        <v>KT 8626 YT</v>
      </c>
      <c r="B2141" s="6" t="str">
        <f aca="false">IF($A2141="","",INDEX(PlanningItemsList,20))</f>
        <v>Flushing Rem</v>
      </c>
      <c r="C2141" s="7"/>
      <c r="D2141" s="7"/>
    </row>
    <row r="2142" customFormat="false" ht="15" hidden="false" customHeight="false" outlineLevel="0" collapsed="false">
      <c r="A2142" s="6" t="str">
        <f aca="false">IF('DATA UNIT'!$B109="","",'DATA UNIT'!$B109)</f>
        <v>KT 8160 ZA</v>
      </c>
      <c r="B2142" s="6" t="str">
        <f aca="false">IF($A2142="","",INDEX(PlanningItemsList,1))</f>
        <v>PM Check / Reguler Services</v>
      </c>
      <c r="C2142" s="7"/>
      <c r="D2142" s="7"/>
    </row>
    <row r="2143" customFormat="false" ht="15" hidden="false" customHeight="false" outlineLevel="0" collapsed="false">
      <c r="A2143" s="6" t="str">
        <f aca="false">IF('DATA UNIT'!$B109="","",'DATA UNIT'!$B109)</f>
        <v>KT 8160 ZA</v>
      </c>
      <c r="B2143" s="6" t="str">
        <f aca="false">IF($A2143="","",INDEX(PlanningItemsList,2))</f>
        <v>Service A</v>
      </c>
      <c r="C2143" s="7"/>
      <c r="D2143" s="7"/>
    </row>
    <row r="2144" customFormat="false" ht="15" hidden="false" customHeight="false" outlineLevel="0" collapsed="false">
      <c r="A2144" s="6" t="str">
        <f aca="false">IF('DATA UNIT'!$B109="","",'DATA UNIT'!$B109)</f>
        <v>KT 8160 ZA</v>
      </c>
      <c r="B2144" s="6" t="str">
        <f aca="false">IF($A2144="","",INDEX(PlanningItemsList,3))</f>
        <v>Service B</v>
      </c>
      <c r="C2144" s="7"/>
      <c r="D2144" s="7"/>
    </row>
    <row r="2145" customFormat="false" ht="15" hidden="false" customHeight="false" outlineLevel="0" collapsed="false">
      <c r="A2145" s="6" t="str">
        <f aca="false">IF('DATA UNIT'!$B109="","",'DATA UNIT'!$B109)</f>
        <v>KT 8160 ZA</v>
      </c>
      <c r="B2145" s="6" t="str">
        <f aca="false">IF($A2145="","",INDEX(PlanningItemsList,4))</f>
        <v>Brake Pad</v>
      </c>
      <c r="C2145" s="7"/>
      <c r="D2145" s="7"/>
    </row>
    <row r="2146" customFormat="false" ht="15" hidden="false" customHeight="false" outlineLevel="0" collapsed="false">
      <c r="A2146" s="6" t="str">
        <f aca="false">IF('DATA UNIT'!$B109="","",'DATA UNIT'!$B109)</f>
        <v>KT 8160 ZA</v>
      </c>
      <c r="B2146" s="6" t="str">
        <f aca="false">IF($A2146="","",INDEX(PlanningItemsList,5))</f>
        <v>Brake Shoe</v>
      </c>
      <c r="C2146" s="7"/>
      <c r="D2146" s="7"/>
    </row>
    <row r="2147" customFormat="false" ht="15" hidden="false" customHeight="false" outlineLevel="0" collapsed="false">
      <c r="A2147" s="6" t="str">
        <f aca="false">IF('DATA UNIT'!$B109="","",'DATA UNIT'!$B109)</f>
        <v>KT 8160 ZA</v>
      </c>
      <c r="B2147" s="6" t="str">
        <f aca="false">IF($A2147="","",INDEX(PlanningItemsList,6))</f>
        <v>Accu</v>
      </c>
      <c r="C2147" s="7"/>
      <c r="D2147" s="7"/>
    </row>
    <row r="2148" customFormat="false" ht="15" hidden="false" customHeight="false" outlineLevel="0" collapsed="false">
      <c r="A2148" s="6" t="str">
        <f aca="false">IF('DATA UNIT'!$B109="","",'DATA UNIT'!$B109)</f>
        <v>KT 8160 ZA</v>
      </c>
      <c r="B2148" s="6" t="str">
        <f aca="false">IF($A2148="","",INDEX(PlanningItemsList,7))</f>
        <v>Kampas Kopling Set</v>
      </c>
      <c r="C2148" s="7"/>
      <c r="D2148" s="7"/>
    </row>
    <row r="2149" customFormat="false" ht="15" hidden="false" customHeight="false" outlineLevel="0" collapsed="false">
      <c r="A2149" s="6" t="str">
        <f aca="false">IF('DATA UNIT'!$B109="","",'DATA UNIT'!$B109)</f>
        <v>KT 8160 ZA</v>
      </c>
      <c r="B2149" s="6" t="str">
        <f aca="false">IF($A2149="","",INDEX(PlanningItemsList,8))</f>
        <v>Wiper Blade</v>
      </c>
      <c r="C2149" s="7"/>
      <c r="D2149" s="7"/>
    </row>
    <row r="2150" customFormat="false" ht="15" hidden="false" customHeight="false" outlineLevel="0" collapsed="false">
      <c r="A2150" s="6" t="str">
        <f aca="false">IF('DATA UNIT'!$B109="","",'DATA UNIT'!$B109)</f>
        <v>KT 8160 ZA</v>
      </c>
      <c r="B2150" s="6" t="str">
        <f aca="false">IF($A2150="","",INDEX(PlanningItemsList,9))</f>
        <v>Ban Depan</v>
      </c>
      <c r="C2150" s="7"/>
      <c r="D2150" s="7"/>
    </row>
    <row r="2151" customFormat="false" ht="15" hidden="false" customHeight="false" outlineLevel="0" collapsed="false">
      <c r="A2151" s="6" t="str">
        <f aca="false">IF('DATA UNIT'!$B109="","",'DATA UNIT'!$B109)</f>
        <v>KT 8160 ZA</v>
      </c>
      <c r="B2151" s="6" t="str">
        <f aca="false">IF($A2151="","",INDEX(PlanningItemsList,10))</f>
        <v>Ban Belakang</v>
      </c>
      <c r="C2151" s="7"/>
      <c r="D2151" s="7"/>
    </row>
    <row r="2152" customFormat="false" ht="15" hidden="false" customHeight="false" outlineLevel="0" collapsed="false">
      <c r="A2152" s="6" t="str">
        <f aca="false">IF('DATA UNIT'!$B109="","",'DATA UNIT'!$B109)</f>
        <v>KT 8160 ZA</v>
      </c>
      <c r="B2152" s="6" t="str">
        <f aca="false">IF($A2152="","",INDEX(PlanningItemsList,11))</f>
        <v>Ban Serep</v>
      </c>
      <c r="C2152" s="7"/>
      <c r="D2152" s="7"/>
    </row>
    <row r="2153" customFormat="false" ht="15" hidden="false" customHeight="false" outlineLevel="0" collapsed="false">
      <c r="A2153" s="6" t="str">
        <f aca="false">IF('DATA UNIT'!$B109="","",'DATA UNIT'!$B109)</f>
        <v>KT 8160 ZA</v>
      </c>
      <c r="B2153" s="6" t="str">
        <f aca="false">IF($A2153="","",INDEX(PlanningItemsList,12))</f>
        <v>Greasing</v>
      </c>
      <c r="C2153" s="7"/>
      <c r="D2153" s="7"/>
    </row>
    <row r="2154" customFormat="false" ht="15" hidden="false" customHeight="false" outlineLevel="0" collapsed="false">
      <c r="A2154" s="6" t="str">
        <f aca="false">IF('DATA UNIT'!$B109="","",'DATA UNIT'!$B109)</f>
        <v>KT 8160 ZA</v>
      </c>
      <c r="B2154" s="6" t="str">
        <f aca="false">IF($A2154="","",INDEX(PlanningItemsList,13))</f>
        <v>V-Belt</v>
      </c>
      <c r="C2154" s="7"/>
      <c r="D2154" s="7"/>
    </row>
    <row r="2155" customFormat="false" ht="15" hidden="false" customHeight="false" outlineLevel="0" collapsed="false">
      <c r="A2155" s="6" t="str">
        <f aca="false">IF('DATA UNIT'!$B109="","",'DATA UNIT'!$B109)</f>
        <v>KT 8160 ZA</v>
      </c>
      <c r="B2155" s="6" t="str">
        <f aca="false">IF($A2155="","",INDEX(PlanningItemsList,14))</f>
        <v>Sarung Jok</v>
      </c>
      <c r="C2155" s="7"/>
      <c r="D2155" s="7"/>
    </row>
    <row r="2156" customFormat="false" ht="15" hidden="false" customHeight="false" outlineLevel="0" collapsed="false">
      <c r="A2156" s="6" t="str">
        <f aca="false">IF('DATA UNIT'!$B109="","",'DATA UNIT'!$B109)</f>
        <v>KT 8160 ZA</v>
      </c>
      <c r="B2156" s="6" t="str">
        <f aca="false">IF($A2156="","",INDEX(PlanningItemsList,15))</f>
        <v>Karpet Karet</v>
      </c>
      <c r="C2156" s="7"/>
      <c r="D2156" s="7"/>
    </row>
    <row r="2157" customFormat="false" ht="15" hidden="false" customHeight="false" outlineLevel="0" collapsed="false">
      <c r="A2157" s="6" t="str">
        <f aca="false">IF('DATA UNIT'!$B109="","",'DATA UNIT'!$B109)</f>
        <v>KT 8160 ZA</v>
      </c>
      <c r="B2157" s="6" t="str">
        <f aca="false">IF($A2157="","",INDEX(PlanningItemsList,16))</f>
        <v>Karpet Dasar</v>
      </c>
      <c r="C2157" s="7"/>
      <c r="D2157" s="7"/>
    </row>
    <row r="2158" customFormat="false" ht="15" hidden="false" customHeight="false" outlineLevel="0" collapsed="false">
      <c r="A2158" s="6" t="str">
        <f aca="false">IF('DATA UNIT'!$B109="","",'DATA UNIT'!$B109)</f>
        <v>KT 8160 ZA</v>
      </c>
      <c r="B2158" s="6" t="str">
        <f aca="false">IF($A2158="","",INDEX(PlanningItemsList,17))</f>
        <v>Flushing Radiator</v>
      </c>
      <c r="C2158" s="7"/>
      <c r="D2158" s="7"/>
    </row>
    <row r="2159" customFormat="false" ht="15" hidden="false" customHeight="false" outlineLevel="0" collapsed="false">
      <c r="A2159" s="6" t="str">
        <f aca="false">IF('DATA UNIT'!$B109="","",'DATA UNIT'!$B109)</f>
        <v>KT 8160 ZA</v>
      </c>
      <c r="B2159" s="6" t="str">
        <f aca="false">IF($A2159="","",INDEX(PlanningItemsList,18))</f>
        <v>Flushing Steering</v>
      </c>
      <c r="C2159" s="7"/>
      <c r="D2159" s="7"/>
    </row>
    <row r="2160" customFormat="false" ht="15" hidden="false" customHeight="false" outlineLevel="0" collapsed="false">
      <c r="A2160" s="6" t="str">
        <f aca="false">IF('DATA UNIT'!$B109="","",'DATA UNIT'!$B109)</f>
        <v>KT 8160 ZA</v>
      </c>
      <c r="B2160" s="6" t="str">
        <f aca="false">IF($A2160="","",INDEX(PlanningItemsList,19))</f>
        <v>Flushing Injector</v>
      </c>
      <c r="C2160" s="7"/>
      <c r="D2160" s="7"/>
    </row>
    <row r="2161" customFormat="false" ht="15" hidden="false" customHeight="false" outlineLevel="0" collapsed="false">
      <c r="A2161" s="6" t="str">
        <f aca="false">IF('DATA UNIT'!$B109="","",'DATA UNIT'!$B109)</f>
        <v>KT 8160 ZA</v>
      </c>
      <c r="B2161" s="6" t="str">
        <f aca="false">IF($A2161="","",INDEX(PlanningItemsList,20))</f>
        <v>Flushing Rem</v>
      </c>
      <c r="C2161" s="7"/>
      <c r="D2161" s="7"/>
    </row>
    <row r="2162" customFormat="false" ht="15" hidden="false" customHeight="false" outlineLevel="0" collapsed="false">
      <c r="A2162" s="6" t="str">
        <f aca="false">IF('DATA UNIT'!$B110="","",'DATA UNIT'!$B110)</f>
        <v>KT 8158 ZA</v>
      </c>
      <c r="B2162" s="6" t="str">
        <f aca="false">IF($A2162="","",INDEX(PlanningItemsList,1))</f>
        <v>PM Check / Reguler Services</v>
      </c>
      <c r="C2162" s="7"/>
      <c r="D2162" s="7"/>
    </row>
    <row r="2163" customFormat="false" ht="15" hidden="false" customHeight="false" outlineLevel="0" collapsed="false">
      <c r="A2163" s="6" t="str">
        <f aca="false">IF('DATA UNIT'!$B110="","",'DATA UNIT'!$B110)</f>
        <v>KT 8158 ZA</v>
      </c>
      <c r="B2163" s="6" t="str">
        <f aca="false">IF($A2163="","",INDEX(PlanningItemsList,2))</f>
        <v>Service A</v>
      </c>
      <c r="C2163" s="7"/>
      <c r="D2163" s="7"/>
    </row>
    <row r="2164" customFormat="false" ht="15" hidden="false" customHeight="false" outlineLevel="0" collapsed="false">
      <c r="A2164" s="6" t="str">
        <f aca="false">IF('DATA UNIT'!$B110="","",'DATA UNIT'!$B110)</f>
        <v>KT 8158 ZA</v>
      </c>
      <c r="B2164" s="6" t="str">
        <f aca="false">IF($A2164="","",INDEX(PlanningItemsList,3))</f>
        <v>Service B</v>
      </c>
      <c r="C2164" s="7"/>
      <c r="D2164" s="7"/>
    </row>
    <row r="2165" customFormat="false" ht="15" hidden="false" customHeight="false" outlineLevel="0" collapsed="false">
      <c r="A2165" s="6" t="str">
        <f aca="false">IF('DATA UNIT'!$B110="","",'DATA UNIT'!$B110)</f>
        <v>KT 8158 ZA</v>
      </c>
      <c r="B2165" s="6" t="str">
        <f aca="false">IF($A2165="","",INDEX(PlanningItemsList,4))</f>
        <v>Brake Pad</v>
      </c>
      <c r="C2165" s="7"/>
      <c r="D2165" s="7"/>
    </row>
    <row r="2166" customFormat="false" ht="15" hidden="false" customHeight="false" outlineLevel="0" collapsed="false">
      <c r="A2166" s="6" t="str">
        <f aca="false">IF('DATA UNIT'!$B110="","",'DATA UNIT'!$B110)</f>
        <v>KT 8158 ZA</v>
      </c>
      <c r="B2166" s="6" t="str">
        <f aca="false">IF($A2166="","",INDEX(PlanningItemsList,5))</f>
        <v>Brake Shoe</v>
      </c>
      <c r="C2166" s="7"/>
      <c r="D2166" s="7"/>
    </row>
    <row r="2167" customFormat="false" ht="15" hidden="false" customHeight="false" outlineLevel="0" collapsed="false">
      <c r="A2167" s="6" t="str">
        <f aca="false">IF('DATA UNIT'!$B110="","",'DATA UNIT'!$B110)</f>
        <v>KT 8158 ZA</v>
      </c>
      <c r="B2167" s="6" t="str">
        <f aca="false">IF($A2167="","",INDEX(PlanningItemsList,6))</f>
        <v>Accu</v>
      </c>
      <c r="C2167" s="7"/>
      <c r="D2167" s="7"/>
    </row>
    <row r="2168" customFormat="false" ht="15" hidden="false" customHeight="false" outlineLevel="0" collapsed="false">
      <c r="A2168" s="6" t="str">
        <f aca="false">IF('DATA UNIT'!$B110="","",'DATA UNIT'!$B110)</f>
        <v>KT 8158 ZA</v>
      </c>
      <c r="B2168" s="6" t="str">
        <f aca="false">IF($A2168="","",INDEX(PlanningItemsList,7))</f>
        <v>Kampas Kopling Set</v>
      </c>
      <c r="C2168" s="7"/>
      <c r="D2168" s="7"/>
    </row>
    <row r="2169" customFormat="false" ht="15" hidden="false" customHeight="false" outlineLevel="0" collapsed="false">
      <c r="A2169" s="6" t="str">
        <f aca="false">IF('DATA UNIT'!$B110="","",'DATA UNIT'!$B110)</f>
        <v>KT 8158 ZA</v>
      </c>
      <c r="B2169" s="6" t="str">
        <f aca="false">IF($A2169="","",INDEX(PlanningItemsList,8))</f>
        <v>Wiper Blade</v>
      </c>
      <c r="C2169" s="7"/>
      <c r="D2169" s="7"/>
    </row>
    <row r="2170" customFormat="false" ht="15" hidden="false" customHeight="false" outlineLevel="0" collapsed="false">
      <c r="A2170" s="6" t="str">
        <f aca="false">IF('DATA UNIT'!$B110="","",'DATA UNIT'!$B110)</f>
        <v>KT 8158 ZA</v>
      </c>
      <c r="B2170" s="6" t="str">
        <f aca="false">IF($A2170="","",INDEX(PlanningItemsList,9))</f>
        <v>Ban Depan</v>
      </c>
      <c r="C2170" s="7"/>
      <c r="D2170" s="7"/>
    </row>
    <row r="2171" customFormat="false" ht="15" hidden="false" customHeight="false" outlineLevel="0" collapsed="false">
      <c r="A2171" s="6" t="str">
        <f aca="false">IF('DATA UNIT'!$B110="","",'DATA UNIT'!$B110)</f>
        <v>KT 8158 ZA</v>
      </c>
      <c r="B2171" s="6" t="str">
        <f aca="false">IF($A2171="","",INDEX(PlanningItemsList,10))</f>
        <v>Ban Belakang</v>
      </c>
      <c r="C2171" s="7"/>
      <c r="D2171" s="7"/>
    </row>
    <row r="2172" customFormat="false" ht="15" hidden="false" customHeight="false" outlineLevel="0" collapsed="false">
      <c r="A2172" s="6" t="str">
        <f aca="false">IF('DATA UNIT'!$B110="","",'DATA UNIT'!$B110)</f>
        <v>KT 8158 ZA</v>
      </c>
      <c r="B2172" s="6" t="str">
        <f aca="false">IF($A2172="","",INDEX(PlanningItemsList,11))</f>
        <v>Ban Serep</v>
      </c>
      <c r="C2172" s="7"/>
      <c r="D2172" s="7"/>
    </row>
    <row r="2173" customFormat="false" ht="15" hidden="false" customHeight="false" outlineLevel="0" collapsed="false">
      <c r="A2173" s="6" t="str">
        <f aca="false">IF('DATA UNIT'!$B110="","",'DATA UNIT'!$B110)</f>
        <v>KT 8158 ZA</v>
      </c>
      <c r="B2173" s="6" t="str">
        <f aca="false">IF($A2173="","",INDEX(PlanningItemsList,12))</f>
        <v>Greasing</v>
      </c>
      <c r="C2173" s="7"/>
      <c r="D2173" s="7"/>
    </row>
    <row r="2174" customFormat="false" ht="15" hidden="false" customHeight="false" outlineLevel="0" collapsed="false">
      <c r="A2174" s="6" t="str">
        <f aca="false">IF('DATA UNIT'!$B110="","",'DATA UNIT'!$B110)</f>
        <v>KT 8158 ZA</v>
      </c>
      <c r="B2174" s="6" t="str">
        <f aca="false">IF($A2174="","",INDEX(PlanningItemsList,13))</f>
        <v>V-Belt</v>
      </c>
      <c r="C2174" s="7"/>
      <c r="D2174" s="7"/>
    </row>
    <row r="2175" customFormat="false" ht="15" hidden="false" customHeight="false" outlineLevel="0" collapsed="false">
      <c r="A2175" s="6" t="str">
        <f aca="false">IF('DATA UNIT'!$B110="","",'DATA UNIT'!$B110)</f>
        <v>KT 8158 ZA</v>
      </c>
      <c r="B2175" s="6" t="str">
        <f aca="false">IF($A2175="","",INDEX(PlanningItemsList,14))</f>
        <v>Sarung Jok</v>
      </c>
      <c r="C2175" s="7"/>
      <c r="D2175" s="7"/>
    </row>
    <row r="2176" customFormat="false" ht="15" hidden="false" customHeight="false" outlineLevel="0" collapsed="false">
      <c r="A2176" s="6" t="str">
        <f aca="false">IF('DATA UNIT'!$B110="","",'DATA UNIT'!$B110)</f>
        <v>KT 8158 ZA</v>
      </c>
      <c r="B2176" s="6" t="str">
        <f aca="false">IF($A2176="","",INDEX(PlanningItemsList,15))</f>
        <v>Karpet Karet</v>
      </c>
      <c r="C2176" s="7"/>
      <c r="D2176" s="7"/>
    </row>
    <row r="2177" customFormat="false" ht="15" hidden="false" customHeight="false" outlineLevel="0" collapsed="false">
      <c r="A2177" s="6" t="str">
        <f aca="false">IF('DATA UNIT'!$B110="","",'DATA UNIT'!$B110)</f>
        <v>KT 8158 ZA</v>
      </c>
      <c r="B2177" s="6" t="str">
        <f aca="false">IF($A2177="","",INDEX(PlanningItemsList,16))</f>
        <v>Karpet Dasar</v>
      </c>
      <c r="C2177" s="7"/>
      <c r="D2177" s="7"/>
    </row>
    <row r="2178" customFormat="false" ht="15" hidden="false" customHeight="false" outlineLevel="0" collapsed="false">
      <c r="A2178" s="6" t="str">
        <f aca="false">IF('DATA UNIT'!$B110="","",'DATA UNIT'!$B110)</f>
        <v>KT 8158 ZA</v>
      </c>
      <c r="B2178" s="6" t="str">
        <f aca="false">IF($A2178="","",INDEX(PlanningItemsList,17))</f>
        <v>Flushing Radiator</v>
      </c>
      <c r="C2178" s="7"/>
      <c r="D2178" s="7"/>
    </row>
    <row r="2179" customFormat="false" ht="15" hidden="false" customHeight="false" outlineLevel="0" collapsed="false">
      <c r="A2179" s="6" t="str">
        <f aca="false">IF('DATA UNIT'!$B110="","",'DATA UNIT'!$B110)</f>
        <v>KT 8158 ZA</v>
      </c>
      <c r="B2179" s="6" t="str">
        <f aca="false">IF($A2179="","",INDEX(PlanningItemsList,18))</f>
        <v>Flushing Steering</v>
      </c>
      <c r="C2179" s="7"/>
      <c r="D2179" s="7"/>
    </row>
    <row r="2180" customFormat="false" ht="15" hidden="false" customHeight="false" outlineLevel="0" collapsed="false">
      <c r="A2180" s="6" t="str">
        <f aca="false">IF('DATA UNIT'!$B110="","",'DATA UNIT'!$B110)</f>
        <v>KT 8158 ZA</v>
      </c>
      <c r="B2180" s="6" t="str">
        <f aca="false">IF($A2180="","",INDEX(PlanningItemsList,19))</f>
        <v>Flushing Injector</v>
      </c>
      <c r="C2180" s="7"/>
      <c r="D2180" s="7"/>
    </row>
    <row r="2181" customFormat="false" ht="15" hidden="false" customHeight="false" outlineLevel="0" collapsed="false">
      <c r="A2181" s="6" t="str">
        <f aca="false">IF('DATA UNIT'!$B110="","",'DATA UNIT'!$B110)</f>
        <v>KT 8158 ZA</v>
      </c>
      <c r="B2181" s="6" t="str">
        <f aca="false">IF($A2181="","",INDEX(PlanningItemsList,20))</f>
        <v>Flushing Rem</v>
      </c>
      <c r="C2181" s="7"/>
      <c r="D2181" s="7"/>
    </row>
    <row r="2182" customFormat="false" ht="15" hidden="false" customHeight="false" outlineLevel="0" collapsed="false">
      <c r="A2182" s="6" t="str">
        <f aca="false">IF('DATA UNIT'!$B111="","",'DATA UNIT'!$B111)</f>
        <v>KT 8927 ZE</v>
      </c>
      <c r="B2182" s="6" t="str">
        <f aca="false">IF($A2182="","",INDEX(PlanningItemsList,1))</f>
        <v>PM Check / Reguler Services</v>
      </c>
      <c r="C2182" s="7"/>
      <c r="D2182" s="7"/>
    </row>
    <row r="2183" customFormat="false" ht="15" hidden="false" customHeight="false" outlineLevel="0" collapsed="false">
      <c r="A2183" s="6" t="str">
        <f aca="false">IF('DATA UNIT'!$B111="","",'DATA UNIT'!$B111)</f>
        <v>KT 8927 ZE</v>
      </c>
      <c r="B2183" s="6" t="str">
        <f aca="false">IF($A2183="","",INDEX(PlanningItemsList,2))</f>
        <v>Service A</v>
      </c>
      <c r="C2183" s="7"/>
      <c r="D2183" s="7"/>
    </row>
    <row r="2184" customFormat="false" ht="15" hidden="false" customHeight="false" outlineLevel="0" collapsed="false">
      <c r="A2184" s="6" t="str">
        <f aca="false">IF('DATA UNIT'!$B111="","",'DATA UNIT'!$B111)</f>
        <v>KT 8927 ZE</v>
      </c>
      <c r="B2184" s="6" t="str">
        <f aca="false">IF($A2184="","",INDEX(PlanningItemsList,3))</f>
        <v>Service B</v>
      </c>
      <c r="C2184" s="7"/>
      <c r="D2184" s="7"/>
    </row>
    <row r="2185" customFormat="false" ht="15" hidden="false" customHeight="false" outlineLevel="0" collapsed="false">
      <c r="A2185" s="6" t="str">
        <f aca="false">IF('DATA UNIT'!$B111="","",'DATA UNIT'!$B111)</f>
        <v>KT 8927 ZE</v>
      </c>
      <c r="B2185" s="6" t="str">
        <f aca="false">IF($A2185="","",INDEX(PlanningItemsList,4))</f>
        <v>Brake Pad</v>
      </c>
      <c r="C2185" s="7"/>
      <c r="D2185" s="7"/>
    </row>
    <row r="2186" customFormat="false" ht="15" hidden="false" customHeight="false" outlineLevel="0" collapsed="false">
      <c r="A2186" s="6" t="str">
        <f aca="false">IF('DATA UNIT'!$B111="","",'DATA UNIT'!$B111)</f>
        <v>KT 8927 ZE</v>
      </c>
      <c r="B2186" s="6" t="str">
        <f aca="false">IF($A2186="","",INDEX(PlanningItemsList,5))</f>
        <v>Brake Shoe</v>
      </c>
      <c r="C2186" s="7"/>
      <c r="D2186" s="7"/>
    </row>
    <row r="2187" customFormat="false" ht="15" hidden="false" customHeight="false" outlineLevel="0" collapsed="false">
      <c r="A2187" s="6" t="str">
        <f aca="false">IF('DATA UNIT'!$B111="","",'DATA UNIT'!$B111)</f>
        <v>KT 8927 ZE</v>
      </c>
      <c r="B2187" s="6" t="str">
        <f aca="false">IF($A2187="","",INDEX(PlanningItemsList,6))</f>
        <v>Accu</v>
      </c>
      <c r="C2187" s="7"/>
      <c r="D2187" s="7"/>
    </row>
    <row r="2188" customFormat="false" ht="15" hidden="false" customHeight="false" outlineLevel="0" collapsed="false">
      <c r="A2188" s="6" t="str">
        <f aca="false">IF('DATA UNIT'!$B111="","",'DATA UNIT'!$B111)</f>
        <v>KT 8927 ZE</v>
      </c>
      <c r="B2188" s="6" t="str">
        <f aca="false">IF($A2188="","",INDEX(PlanningItemsList,7))</f>
        <v>Kampas Kopling Set</v>
      </c>
      <c r="C2188" s="7"/>
      <c r="D2188" s="7"/>
    </row>
    <row r="2189" customFormat="false" ht="15" hidden="false" customHeight="false" outlineLevel="0" collapsed="false">
      <c r="A2189" s="6" t="str">
        <f aca="false">IF('DATA UNIT'!$B111="","",'DATA UNIT'!$B111)</f>
        <v>KT 8927 ZE</v>
      </c>
      <c r="B2189" s="6" t="str">
        <f aca="false">IF($A2189="","",INDEX(PlanningItemsList,8))</f>
        <v>Wiper Blade</v>
      </c>
      <c r="C2189" s="7"/>
      <c r="D2189" s="7"/>
    </row>
    <row r="2190" customFormat="false" ht="15" hidden="false" customHeight="false" outlineLevel="0" collapsed="false">
      <c r="A2190" s="6" t="str">
        <f aca="false">IF('DATA UNIT'!$B111="","",'DATA UNIT'!$B111)</f>
        <v>KT 8927 ZE</v>
      </c>
      <c r="B2190" s="6" t="str">
        <f aca="false">IF($A2190="","",INDEX(PlanningItemsList,9))</f>
        <v>Ban Depan</v>
      </c>
      <c r="C2190" s="7"/>
      <c r="D2190" s="7"/>
    </row>
    <row r="2191" customFormat="false" ht="15" hidden="false" customHeight="false" outlineLevel="0" collapsed="false">
      <c r="A2191" s="6" t="str">
        <f aca="false">IF('DATA UNIT'!$B111="","",'DATA UNIT'!$B111)</f>
        <v>KT 8927 ZE</v>
      </c>
      <c r="B2191" s="6" t="str">
        <f aca="false">IF($A2191="","",INDEX(PlanningItemsList,10))</f>
        <v>Ban Belakang</v>
      </c>
      <c r="C2191" s="7"/>
      <c r="D2191" s="7"/>
    </row>
    <row r="2192" customFormat="false" ht="15" hidden="false" customHeight="false" outlineLevel="0" collapsed="false">
      <c r="A2192" s="6" t="str">
        <f aca="false">IF('DATA UNIT'!$B111="","",'DATA UNIT'!$B111)</f>
        <v>KT 8927 ZE</v>
      </c>
      <c r="B2192" s="6" t="str">
        <f aca="false">IF($A2192="","",INDEX(PlanningItemsList,11))</f>
        <v>Ban Serep</v>
      </c>
      <c r="C2192" s="7"/>
      <c r="D2192" s="7"/>
    </row>
    <row r="2193" customFormat="false" ht="15" hidden="false" customHeight="false" outlineLevel="0" collapsed="false">
      <c r="A2193" s="6" t="str">
        <f aca="false">IF('DATA UNIT'!$B111="","",'DATA UNIT'!$B111)</f>
        <v>KT 8927 ZE</v>
      </c>
      <c r="B2193" s="6" t="str">
        <f aca="false">IF($A2193="","",INDEX(PlanningItemsList,12))</f>
        <v>Greasing</v>
      </c>
      <c r="C2193" s="7"/>
      <c r="D2193" s="7"/>
    </row>
    <row r="2194" customFormat="false" ht="15" hidden="false" customHeight="false" outlineLevel="0" collapsed="false">
      <c r="A2194" s="6" t="str">
        <f aca="false">IF('DATA UNIT'!$B111="","",'DATA UNIT'!$B111)</f>
        <v>KT 8927 ZE</v>
      </c>
      <c r="B2194" s="6" t="str">
        <f aca="false">IF($A2194="","",INDEX(PlanningItemsList,13))</f>
        <v>V-Belt</v>
      </c>
      <c r="C2194" s="7"/>
      <c r="D2194" s="7"/>
    </row>
    <row r="2195" customFormat="false" ht="15" hidden="false" customHeight="false" outlineLevel="0" collapsed="false">
      <c r="A2195" s="6" t="str">
        <f aca="false">IF('DATA UNIT'!$B111="","",'DATA UNIT'!$B111)</f>
        <v>KT 8927 ZE</v>
      </c>
      <c r="B2195" s="6" t="str">
        <f aca="false">IF($A2195="","",INDEX(PlanningItemsList,14))</f>
        <v>Sarung Jok</v>
      </c>
      <c r="C2195" s="7"/>
      <c r="D2195" s="7"/>
    </row>
    <row r="2196" customFormat="false" ht="15" hidden="false" customHeight="false" outlineLevel="0" collapsed="false">
      <c r="A2196" s="6" t="str">
        <f aca="false">IF('DATA UNIT'!$B111="","",'DATA UNIT'!$B111)</f>
        <v>KT 8927 ZE</v>
      </c>
      <c r="B2196" s="6" t="str">
        <f aca="false">IF($A2196="","",INDEX(PlanningItemsList,15))</f>
        <v>Karpet Karet</v>
      </c>
      <c r="C2196" s="7"/>
      <c r="D2196" s="7"/>
    </row>
    <row r="2197" customFormat="false" ht="15" hidden="false" customHeight="false" outlineLevel="0" collapsed="false">
      <c r="A2197" s="6" t="str">
        <f aca="false">IF('DATA UNIT'!$B111="","",'DATA UNIT'!$B111)</f>
        <v>KT 8927 ZE</v>
      </c>
      <c r="B2197" s="6" t="str">
        <f aca="false">IF($A2197="","",INDEX(PlanningItemsList,16))</f>
        <v>Karpet Dasar</v>
      </c>
      <c r="C2197" s="7"/>
      <c r="D2197" s="7"/>
    </row>
    <row r="2198" customFormat="false" ht="15" hidden="false" customHeight="false" outlineLevel="0" collapsed="false">
      <c r="A2198" s="6" t="str">
        <f aca="false">IF('DATA UNIT'!$B111="","",'DATA UNIT'!$B111)</f>
        <v>KT 8927 ZE</v>
      </c>
      <c r="B2198" s="6" t="str">
        <f aca="false">IF($A2198="","",INDEX(PlanningItemsList,17))</f>
        <v>Flushing Radiator</v>
      </c>
      <c r="C2198" s="7"/>
      <c r="D2198" s="7"/>
    </row>
    <row r="2199" customFormat="false" ht="15" hidden="false" customHeight="false" outlineLevel="0" collapsed="false">
      <c r="A2199" s="6" t="str">
        <f aca="false">IF('DATA UNIT'!$B111="","",'DATA UNIT'!$B111)</f>
        <v>KT 8927 ZE</v>
      </c>
      <c r="B2199" s="6" t="str">
        <f aca="false">IF($A2199="","",INDEX(PlanningItemsList,18))</f>
        <v>Flushing Steering</v>
      </c>
      <c r="C2199" s="7"/>
      <c r="D2199" s="7"/>
    </row>
    <row r="2200" customFormat="false" ht="15" hidden="false" customHeight="false" outlineLevel="0" collapsed="false">
      <c r="A2200" s="6" t="str">
        <f aca="false">IF('DATA UNIT'!$B111="","",'DATA UNIT'!$B111)</f>
        <v>KT 8927 ZE</v>
      </c>
      <c r="B2200" s="6" t="str">
        <f aca="false">IF($A2200="","",INDEX(PlanningItemsList,19))</f>
        <v>Flushing Injector</v>
      </c>
      <c r="C2200" s="7"/>
      <c r="D2200" s="7"/>
    </row>
    <row r="2201" customFormat="false" ht="15" hidden="false" customHeight="false" outlineLevel="0" collapsed="false">
      <c r="A2201" s="6" t="str">
        <f aca="false">IF('DATA UNIT'!$B111="","",'DATA UNIT'!$B111)</f>
        <v>KT 8927 ZE</v>
      </c>
      <c r="B2201" s="6" t="str">
        <f aca="false">IF($A2201="","",INDEX(PlanningItemsList,20))</f>
        <v>Flushing Rem</v>
      </c>
      <c r="C2201" s="7"/>
      <c r="D2201" s="7"/>
    </row>
    <row r="2202" customFormat="false" ht="15" hidden="false" customHeight="false" outlineLevel="0" collapsed="false">
      <c r="A2202" s="6" t="str">
        <f aca="false">IF('DATA UNIT'!$B112="","",'DATA UNIT'!$B112)</f>
        <v>KT 8227 ZN</v>
      </c>
      <c r="B2202" s="6" t="str">
        <f aca="false">IF($A2202="","",INDEX(PlanningItemsList,1))</f>
        <v>PM Check / Reguler Services</v>
      </c>
      <c r="C2202" s="7"/>
      <c r="D2202" s="7"/>
    </row>
    <row r="2203" customFormat="false" ht="15" hidden="false" customHeight="false" outlineLevel="0" collapsed="false">
      <c r="A2203" s="6" t="str">
        <f aca="false">IF('DATA UNIT'!$B112="","",'DATA UNIT'!$B112)</f>
        <v>KT 8227 ZN</v>
      </c>
      <c r="B2203" s="6" t="str">
        <f aca="false">IF($A2203="","",INDEX(PlanningItemsList,2))</f>
        <v>Service A</v>
      </c>
      <c r="C2203" s="7"/>
      <c r="D2203" s="7"/>
    </row>
    <row r="2204" customFormat="false" ht="15" hidden="false" customHeight="false" outlineLevel="0" collapsed="false">
      <c r="A2204" s="6" t="str">
        <f aca="false">IF('DATA UNIT'!$B112="","",'DATA UNIT'!$B112)</f>
        <v>KT 8227 ZN</v>
      </c>
      <c r="B2204" s="6" t="str">
        <f aca="false">IF($A2204="","",INDEX(PlanningItemsList,3))</f>
        <v>Service B</v>
      </c>
      <c r="C2204" s="7"/>
      <c r="D2204" s="7"/>
    </row>
    <row r="2205" customFormat="false" ht="15" hidden="false" customHeight="false" outlineLevel="0" collapsed="false">
      <c r="A2205" s="6" t="str">
        <f aca="false">IF('DATA UNIT'!$B112="","",'DATA UNIT'!$B112)</f>
        <v>KT 8227 ZN</v>
      </c>
      <c r="B2205" s="6" t="str">
        <f aca="false">IF($A2205="","",INDEX(PlanningItemsList,4))</f>
        <v>Brake Pad</v>
      </c>
      <c r="C2205" s="7"/>
      <c r="D2205" s="7"/>
    </row>
    <row r="2206" customFormat="false" ht="15" hidden="false" customHeight="false" outlineLevel="0" collapsed="false">
      <c r="A2206" s="6" t="str">
        <f aca="false">IF('DATA UNIT'!$B112="","",'DATA UNIT'!$B112)</f>
        <v>KT 8227 ZN</v>
      </c>
      <c r="B2206" s="6" t="str">
        <f aca="false">IF($A2206="","",INDEX(PlanningItemsList,5))</f>
        <v>Brake Shoe</v>
      </c>
      <c r="C2206" s="7"/>
      <c r="D2206" s="7"/>
    </row>
    <row r="2207" customFormat="false" ht="15" hidden="false" customHeight="false" outlineLevel="0" collapsed="false">
      <c r="A2207" s="6" t="str">
        <f aca="false">IF('DATA UNIT'!$B112="","",'DATA UNIT'!$B112)</f>
        <v>KT 8227 ZN</v>
      </c>
      <c r="B2207" s="6" t="str">
        <f aca="false">IF($A2207="","",INDEX(PlanningItemsList,6))</f>
        <v>Accu</v>
      </c>
      <c r="C2207" s="7"/>
      <c r="D2207" s="7"/>
    </row>
    <row r="2208" customFormat="false" ht="15" hidden="false" customHeight="false" outlineLevel="0" collapsed="false">
      <c r="A2208" s="6" t="str">
        <f aca="false">IF('DATA UNIT'!$B112="","",'DATA UNIT'!$B112)</f>
        <v>KT 8227 ZN</v>
      </c>
      <c r="B2208" s="6" t="str">
        <f aca="false">IF($A2208="","",INDEX(PlanningItemsList,7))</f>
        <v>Kampas Kopling Set</v>
      </c>
      <c r="C2208" s="7"/>
      <c r="D2208" s="7"/>
    </row>
    <row r="2209" customFormat="false" ht="15" hidden="false" customHeight="false" outlineLevel="0" collapsed="false">
      <c r="A2209" s="6" t="str">
        <f aca="false">IF('DATA UNIT'!$B112="","",'DATA UNIT'!$B112)</f>
        <v>KT 8227 ZN</v>
      </c>
      <c r="B2209" s="6" t="str">
        <f aca="false">IF($A2209="","",INDEX(PlanningItemsList,8))</f>
        <v>Wiper Blade</v>
      </c>
      <c r="C2209" s="7"/>
      <c r="D2209" s="7"/>
    </row>
    <row r="2210" customFormat="false" ht="15" hidden="false" customHeight="false" outlineLevel="0" collapsed="false">
      <c r="A2210" s="6" t="str">
        <f aca="false">IF('DATA UNIT'!$B112="","",'DATA UNIT'!$B112)</f>
        <v>KT 8227 ZN</v>
      </c>
      <c r="B2210" s="6" t="str">
        <f aca="false">IF($A2210="","",INDEX(PlanningItemsList,9))</f>
        <v>Ban Depan</v>
      </c>
      <c r="C2210" s="7"/>
      <c r="D2210" s="7"/>
    </row>
    <row r="2211" customFormat="false" ht="15" hidden="false" customHeight="false" outlineLevel="0" collapsed="false">
      <c r="A2211" s="6" t="str">
        <f aca="false">IF('DATA UNIT'!$B112="","",'DATA UNIT'!$B112)</f>
        <v>KT 8227 ZN</v>
      </c>
      <c r="B2211" s="6" t="str">
        <f aca="false">IF($A2211="","",INDEX(PlanningItemsList,10))</f>
        <v>Ban Belakang</v>
      </c>
      <c r="C2211" s="7"/>
      <c r="D2211" s="7"/>
    </row>
    <row r="2212" customFormat="false" ht="15" hidden="false" customHeight="false" outlineLevel="0" collapsed="false">
      <c r="A2212" s="6" t="str">
        <f aca="false">IF('DATA UNIT'!$B112="","",'DATA UNIT'!$B112)</f>
        <v>KT 8227 ZN</v>
      </c>
      <c r="B2212" s="6" t="str">
        <f aca="false">IF($A2212="","",INDEX(PlanningItemsList,11))</f>
        <v>Ban Serep</v>
      </c>
      <c r="C2212" s="7"/>
      <c r="D2212" s="7"/>
    </row>
    <row r="2213" customFormat="false" ht="15" hidden="false" customHeight="false" outlineLevel="0" collapsed="false">
      <c r="A2213" s="6" t="str">
        <f aca="false">IF('DATA UNIT'!$B112="","",'DATA UNIT'!$B112)</f>
        <v>KT 8227 ZN</v>
      </c>
      <c r="B2213" s="6" t="str">
        <f aca="false">IF($A2213="","",INDEX(PlanningItemsList,12))</f>
        <v>Greasing</v>
      </c>
      <c r="C2213" s="7"/>
      <c r="D2213" s="7"/>
    </row>
    <row r="2214" customFormat="false" ht="15" hidden="false" customHeight="false" outlineLevel="0" collapsed="false">
      <c r="A2214" s="6" t="str">
        <f aca="false">IF('DATA UNIT'!$B112="","",'DATA UNIT'!$B112)</f>
        <v>KT 8227 ZN</v>
      </c>
      <c r="B2214" s="6" t="str">
        <f aca="false">IF($A2214="","",INDEX(PlanningItemsList,13))</f>
        <v>V-Belt</v>
      </c>
      <c r="C2214" s="7"/>
      <c r="D2214" s="7"/>
    </row>
    <row r="2215" customFormat="false" ht="15" hidden="false" customHeight="false" outlineLevel="0" collapsed="false">
      <c r="A2215" s="6" t="str">
        <f aca="false">IF('DATA UNIT'!$B112="","",'DATA UNIT'!$B112)</f>
        <v>KT 8227 ZN</v>
      </c>
      <c r="B2215" s="6" t="str">
        <f aca="false">IF($A2215="","",INDEX(PlanningItemsList,14))</f>
        <v>Sarung Jok</v>
      </c>
      <c r="C2215" s="7"/>
      <c r="D2215" s="7"/>
    </row>
    <row r="2216" customFormat="false" ht="15" hidden="false" customHeight="false" outlineLevel="0" collapsed="false">
      <c r="A2216" s="6" t="str">
        <f aca="false">IF('DATA UNIT'!$B112="","",'DATA UNIT'!$B112)</f>
        <v>KT 8227 ZN</v>
      </c>
      <c r="B2216" s="6" t="str">
        <f aca="false">IF($A2216="","",INDEX(PlanningItemsList,15))</f>
        <v>Karpet Karet</v>
      </c>
      <c r="C2216" s="7"/>
      <c r="D2216" s="7"/>
    </row>
    <row r="2217" customFormat="false" ht="15" hidden="false" customHeight="false" outlineLevel="0" collapsed="false">
      <c r="A2217" s="6" t="str">
        <f aca="false">IF('DATA UNIT'!$B112="","",'DATA UNIT'!$B112)</f>
        <v>KT 8227 ZN</v>
      </c>
      <c r="B2217" s="6" t="str">
        <f aca="false">IF($A2217="","",INDEX(PlanningItemsList,16))</f>
        <v>Karpet Dasar</v>
      </c>
      <c r="C2217" s="7"/>
      <c r="D2217" s="7"/>
    </row>
    <row r="2218" customFormat="false" ht="15" hidden="false" customHeight="false" outlineLevel="0" collapsed="false">
      <c r="A2218" s="6" t="str">
        <f aca="false">IF('DATA UNIT'!$B112="","",'DATA UNIT'!$B112)</f>
        <v>KT 8227 ZN</v>
      </c>
      <c r="B2218" s="6" t="str">
        <f aca="false">IF($A2218="","",INDEX(PlanningItemsList,17))</f>
        <v>Flushing Radiator</v>
      </c>
      <c r="C2218" s="7"/>
      <c r="D2218" s="7"/>
    </row>
    <row r="2219" customFormat="false" ht="15" hidden="false" customHeight="false" outlineLevel="0" collapsed="false">
      <c r="A2219" s="6" t="str">
        <f aca="false">IF('DATA UNIT'!$B112="","",'DATA UNIT'!$B112)</f>
        <v>KT 8227 ZN</v>
      </c>
      <c r="B2219" s="6" t="str">
        <f aca="false">IF($A2219="","",INDEX(PlanningItemsList,18))</f>
        <v>Flushing Steering</v>
      </c>
      <c r="C2219" s="7"/>
      <c r="D2219" s="7"/>
    </row>
    <row r="2220" customFormat="false" ht="15" hidden="false" customHeight="false" outlineLevel="0" collapsed="false">
      <c r="A2220" s="6" t="str">
        <f aca="false">IF('DATA UNIT'!$B112="","",'DATA UNIT'!$B112)</f>
        <v>KT 8227 ZN</v>
      </c>
      <c r="B2220" s="6" t="str">
        <f aca="false">IF($A2220="","",INDEX(PlanningItemsList,19))</f>
        <v>Flushing Injector</v>
      </c>
      <c r="C2220" s="7"/>
      <c r="D2220" s="7"/>
    </row>
    <row r="2221" customFormat="false" ht="15" hidden="false" customHeight="false" outlineLevel="0" collapsed="false">
      <c r="A2221" s="6" t="str">
        <f aca="false">IF('DATA UNIT'!$B112="","",'DATA UNIT'!$B112)</f>
        <v>KT 8227 ZN</v>
      </c>
      <c r="B2221" s="6" t="str">
        <f aca="false">IF($A2221="","",INDEX(PlanningItemsList,20))</f>
        <v>Flushing Rem</v>
      </c>
      <c r="C2221" s="7"/>
      <c r="D2221" s="7"/>
    </row>
    <row r="2222" customFormat="false" ht="15" hidden="false" customHeight="false" outlineLevel="0" collapsed="false">
      <c r="A2222" s="6" t="str">
        <f aca="false">IF('DATA UNIT'!$B113="","",'DATA UNIT'!$B113)</f>
        <v>KT 8250 ZN</v>
      </c>
      <c r="B2222" s="6" t="str">
        <f aca="false">IF($A2222="","",INDEX(PlanningItemsList,1))</f>
        <v>PM Check / Reguler Services</v>
      </c>
      <c r="C2222" s="7"/>
      <c r="D2222" s="7"/>
    </row>
    <row r="2223" customFormat="false" ht="15" hidden="false" customHeight="false" outlineLevel="0" collapsed="false">
      <c r="A2223" s="6" t="str">
        <f aca="false">IF('DATA UNIT'!$B113="","",'DATA UNIT'!$B113)</f>
        <v>KT 8250 ZN</v>
      </c>
      <c r="B2223" s="6" t="str">
        <f aca="false">IF($A2223="","",INDEX(PlanningItemsList,2))</f>
        <v>Service A</v>
      </c>
      <c r="C2223" s="7"/>
      <c r="D2223" s="7"/>
    </row>
    <row r="2224" customFormat="false" ht="15" hidden="false" customHeight="false" outlineLevel="0" collapsed="false">
      <c r="A2224" s="6" t="str">
        <f aca="false">IF('DATA UNIT'!$B113="","",'DATA UNIT'!$B113)</f>
        <v>KT 8250 ZN</v>
      </c>
      <c r="B2224" s="6" t="str">
        <f aca="false">IF($A2224="","",INDEX(PlanningItemsList,3))</f>
        <v>Service B</v>
      </c>
      <c r="C2224" s="7"/>
      <c r="D2224" s="7"/>
    </row>
    <row r="2225" customFormat="false" ht="15" hidden="false" customHeight="false" outlineLevel="0" collapsed="false">
      <c r="A2225" s="6" t="str">
        <f aca="false">IF('DATA UNIT'!$B113="","",'DATA UNIT'!$B113)</f>
        <v>KT 8250 ZN</v>
      </c>
      <c r="B2225" s="6" t="str">
        <f aca="false">IF($A2225="","",INDEX(PlanningItemsList,4))</f>
        <v>Brake Pad</v>
      </c>
      <c r="C2225" s="7"/>
      <c r="D2225" s="7"/>
    </row>
    <row r="2226" customFormat="false" ht="15" hidden="false" customHeight="false" outlineLevel="0" collapsed="false">
      <c r="A2226" s="6" t="str">
        <f aca="false">IF('DATA UNIT'!$B113="","",'DATA UNIT'!$B113)</f>
        <v>KT 8250 ZN</v>
      </c>
      <c r="B2226" s="6" t="str">
        <f aca="false">IF($A2226="","",INDEX(PlanningItemsList,5))</f>
        <v>Brake Shoe</v>
      </c>
      <c r="C2226" s="7"/>
      <c r="D2226" s="7"/>
    </row>
    <row r="2227" customFormat="false" ht="15" hidden="false" customHeight="false" outlineLevel="0" collapsed="false">
      <c r="A2227" s="6" t="str">
        <f aca="false">IF('DATA UNIT'!$B113="","",'DATA UNIT'!$B113)</f>
        <v>KT 8250 ZN</v>
      </c>
      <c r="B2227" s="6" t="str">
        <f aca="false">IF($A2227="","",INDEX(PlanningItemsList,6))</f>
        <v>Accu</v>
      </c>
      <c r="C2227" s="7"/>
      <c r="D2227" s="7"/>
    </row>
    <row r="2228" customFormat="false" ht="15" hidden="false" customHeight="false" outlineLevel="0" collapsed="false">
      <c r="A2228" s="6" t="str">
        <f aca="false">IF('DATA UNIT'!$B113="","",'DATA UNIT'!$B113)</f>
        <v>KT 8250 ZN</v>
      </c>
      <c r="B2228" s="6" t="str">
        <f aca="false">IF($A2228="","",INDEX(PlanningItemsList,7))</f>
        <v>Kampas Kopling Set</v>
      </c>
      <c r="C2228" s="7"/>
      <c r="D2228" s="7"/>
    </row>
    <row r="2229" customFormat="false" ht="15" hidden="false" customHeight="false" outlineLevel="0" collapsed="false">
      <c r="A2229" s="6" t="str">
        <f aca="false">IF('DATA UNIT'!$B113="","",'DATA UNIT'!$B113)</f>
        <v>KT 8250 ZN</v>
      </c>
      <c r="B2229" s="6" t="str">
        <f aca="false">IF($A2229="","",INDEX(PlanningItemsList,8))</f>
        <v>Wiper Blade</v>
      </c>
      <c r="C2229" s="7"/>
      <c r="D2229" s="7"/>
    </row>
    <row r="2230" customFormat="false" ht="15" hidden="false" customHeight="false" outlineLevel="0" collapsed="false">
      <c r="A2230" s="6" t="str">
        <f aca="false">IF('DATA UNIT'!$B113="","",'DATA UNIT'!$B113)</f>
        <v>KT 8250 ZN</v>
      </c>
      <c r="B2230" s="6" t="str">
        <f aca="false">IF($A2230="","",INDEX(PlanningItemsList,9))</f>
        <v>Ban Depan</v>
      </c>
      <c r="C2230" s="7"/>
      <c r="D2230" s="7"/>
    </row>
    <row r="2231" customFormat="false" ht="15" hidden="false" customHeight="false" outlineLevel="0" collapsed="false">
      <c r="A2231" s="6" t="str">
        <f aca="false">IF('DATA UNIT'!$B113="","",'DATA UNIT'!$B113)</f>
        <v>KT 8250 ZN</v>
      </c>
      <c r="B2231" s="6" t="str">
        <f aca="false">IF($A2231="","",INDEX(PlanningItemsList,10))</f>
        <v>Ban Belakang</v>
      </c>
      <c r="C2231" s="7"/>
      <c r="D2231" s="7"/>
    </row>
    <row r="2232" customFormat="false" ht="15" hidden="false" customHeight="false" outlineLevel="0" collapsed="false">
      <c r="A2232" s="6" t="str">
        <f aca="false">IF('DATA UNIT'!$B113="","",'DATA UNIT'!$B113)</f>
        <v>KT 8250 ZN</v>
      </c>
      <c r="B2232" s="6" t="str">
        <f aca="false">IF($A2232="","",INDEX(PlanningItemsList,11))</f>
        <v>Ban Serep</v>
      </c>
      <c r="C2232" s="7"/>
      <c r="D2232" s="7"/>
    </row>
    <row r="2233" customFormat="false" ht="15" hidden="false" customHeight="false" outlineLevel="0" collapsed="false">
      <c r="A2233" s="6" t="str">
        <f aca="false">IF('DATA UNIT'!$B113="","",'DATA UNIT'!$B113)</f>
        <v>KT 8250 ZN</v>
      </c>
      <c r="B2233" s="6" t="str">
        <f aca="false">IF($A2233="","",INDEX(PlanningItemsList,12))</f>
        <v>Greasing</v>
      </c>
      <c r="C2233" s="7"/>
      <c r="D2233" s="7"/>
    </row>
    <row r="2234" customFormat="false" ht="15" hidden="false" customHeight="false" outlineLevel="0" collapsed="false">
      <c r="A2234" s="6" t="str">
        <f aca="false">IF('DATA UNIT'!$B113="","",'DATA UNIT'!$B113)</f>
        <v>KT 8250 ZN</v>
      </c>
      <c r="B2234" s="6" t="str">
        <f aca="false">IF($A2234="","",INDEX(PlanningItemsList,13))</f>
        <v>V-Belt</v>
      </c>
      <c r="C2234" s="7"/>
      <c r="D2234" s="7"/>
    </row>
    <row r="2235" customFormat="false" ht="15" hidden="false" customHeight="false" outlineLevel="0" collapsed="false">
      <c r="A2235" s="6" t="str">
        <f aca="false">IF('DATA UNIT'!$B113="","",'DATA UNIT'!$B113)</f>
        <v>KT 8250 ZN</v>
      </c>
      <c r="B2235" s="6" t="str">
        <f aca="false">IF($A2235="","",INDEX(PlanningItemsList,14))</f>
        <v>Sarung Jok</v>
      </c>
      <c r="C2235" s="7"/>
      <c r="D2235" s="7"/>
    </row>
    <row r="2236" customFormat="false" ht="15" hidden="false" customHeight="false" outlineLevel="0" collapsed="false">
      <c r="A2236" s="6" t="str">
        <f aca="false">IF('DATA UNIT'!$B113="","",'DATA UNIT'!$B113)</f>
        <v>KT 8250 ZN</v>
      </c>
      <c r="B2236" s="6" t="str">
        <f aca="false">IF($A2236="","",INDEX(PlanningItemsList,15))</f>
        <v>Karpet Karet</v>
      </c>
      <c r="C2236" s="7"/>
      <c r="D2236" s="7"/>
    </row>
    <row r="2237" customFormat="false" ht="15" hidden="false" customHeight="false" outlineLevel="0" collapsed="false">
      <c r="A2237" s="6" t="str">
        <f aca="false">IF('DATA UNIT'!$B113="","",'DATA UNIT'!$B113)</f>
        <v>KT 8250 ZN</v>
      </c>
      <c r="B2237" s="6" t="str">
        <f aca="false">IF($A2237="","",INDEX(PlanningItemsList,16))</f>
        <v>Karpet Dasar</v>
      </c>
      <c r="C2237" s="7"/>
      <c r="D2237" s="7"/>
    </row>
    <row r="2238" customFormat="false" ht="15" hidden="false" customHeight="false" outlineLevel="0" collapsed="false">
      <c r="A2238" s="6" t="str">
        <f aca="false">IF('DATA UNIT'!$B113="","",'DATA UNIT'!$B113)</f>
        <v>KT 8250 ZN</v>
      </c>
      <c r="B2238" s="6" t="str">
        <f aca="false">IF($A2238="","",INDEX(PlanningItemsList,17))</f>
        <v>Flushing Radiator</v>
      </c>
      <c r="C2238" s="7"/>
      <c r="D2238" s="7"/>
    </row>
    <row r="2239" customFormat="false" ht="15" hidden="false" customHeight="false" outlineLevel="0" collapsed="false">
      <c r="A2239" s="6" t="str">
        <f aca="false">IF('DATA UNIT'!$B113="","",'DATA UNIT'!$B113)</f>
        <v>KT 8250 ZN</v>
      </c>
      <c r="B2239" s="6" t="str">
        <f aca="false">IF($A2239="","",INDEX(PlanningItemsList,18))</f>
        <v>Flushing Steering</v>
      </c>
      <c r="C2239" s="7"/>
      <c r="D2239" s="7"/>
    </row>
    <row r="2240" customFormat="false" ht="15" hidden="false" customHeight="false" outlineLevel="0" collapsed="false">
      <c r="A2240" s="6" t="str">
        <f aca="false">IF('DATA UNIT'!$B113="","",'DATA UNIT'!$B113)</f>
        <v>KT 8250 ZN</v>
      </c>
      <c r="B2240" s="6" t="str">
        <f aca="false">IF($A2240="","",INDEX(PlanningItemsList,19))</f>
        <v>Flushing Injector</v>
      </c>
      <c r="C2240" s="7"/>
      <c r="D2240" s="7"/>
    </row>
    <row r="2241" customFormat="false" ht="15" hidden="false" customHeight="false" outlineLevel="0" collapsed="false">
      <c r="A2241" s="6" t="str">
        <f aca="false">IF('DATA UNIT'!$B113="","",'DATA UNIT'!$B113)</f>
        <v>KT 8250 ZN</v>
      </c>
      <c r="B2241" s="6" t="str">
        <f aca="false">IF($A2241="","",INDEX(PlanningItemsList,20))</f>
        <v>Flushing Rem</v>
      </c>
      <c r="C2241" s="7"/>
      <c r="D2241" s="7"/>
    </row>
    <row r="2242" customFormat="false" ht="15" hidden="false" customHeight="false" outlineLevel="0" collapsed="false">
      <c r="A2242" s="6" t="str">
        <f aca="false">IF('DATA UNIT'!$B114="","",'DATA UNIT'!$B114)</f>
        <v>KT 8251 ZN</v>
      </c>
      <c r="B2242" s="6" t="str">
        <f aca="false">IF($A2242="","",INDEX(PlanningItemsList,1))</f>
        <v>PM Check / Reguler Services</v>
      </c>
      <c r="C2242" s="7"/>
      <c r="D2242" s="7"/>
    </row>
    <row r="2243" customFormat="false" ht="15" hidden="false" customHeight="false" outlineLevel="0" collapsed="false">
      <c r="A2243" s="6" t="str">
        <f aca="false">IF('DATA UNIT'!$B114="","",'DATA UNIT'!$B114)</f>
        <v>KT 8251 ZN</v>
      </c>
      <c r="B2243" s="6" t="str">
        <f aca="false">IF($A2243="","",INDEX(PlanningItemsList,2))</f>
        <v>Service A</v>
      </c>
      <c r="C2243" s="7"/>
      <c r="D2243" s="7"/>
    </row>
    <row r="2244" customFormat="false" ht="15" hidden="false" customHeight="false" outlineLevel="0" collapsed="false">
      <c r="A2244" s="6" t="str">
        <f aca="false">IF('DATA UNIT'!$B114="","",'DATA UNIT'!$B114)</f>
        <v>KT 8251 ZN</v>
      </c>
      <c r="B2244" s="6" t="str">
        <f aca="false">IF($A2244="","",INDEX(PlanningItemsList,3))</f>
        <v>Service B</v>
      </c>
      <c r="C2244" s="7"/>
      <c r="D2244" s="7"/>
    </row>
    <row r="2245" customFormat="false" ht="15" hidden="false" customHeight="false" outlineLevel="0" collapsed="false">
      <c r="A2245" s="6" t="str">
        <f aca="false">IF('DATA UNIT'!$B114="","",'DATA UNIT'!$B114)</f>
        <v>KT 8251 ZN</v>
      </c>
      <c r="B2245" s="6" t="str">
        <f aca="false">IF($A2245="","",INDEX(PlanningItemsList,4))</f>
        <v>Brake Pad</v>
      </c>
      <c r="C2245" s="7"/>
      <c r="D2245" s="7"/>
    </row>
    <row r="2246" customFormat="false" ht="15" hidden="false" customHeight="false" outlineLevel="0" collapsed="false">
      <c r="A2246" s="6" t="str">
        <f aca="false">IF('DATA UNIT'!$B114="","",'DATA UNIT'!$B114)</f>
        <v>KT 8251 ZN</v>
      </c>
      <c r="B2246" s="6" t="str">
        <f aca="false">IF($A2246="","",INDEX(PlanningItemsList,5))</f>
        <v>Brake Shoe</v>
      </c>
      <c r="C2246" s="7"/>
      <c r="D2246" s="7"/>
    </row>
    <row r="2247" customFormat="false" ht="15" hidden="false" customHeight="false" outlineLevel="0" collapsed="false">
      <c r="A2247" s="6" t="str">
        <f aca="false">IF('DATA UNIT'!$B114="","",'DATA UNIT'!$B114)</f>
        <v>KT 8251 ZN</v>
      </c>
      <c r="B2247" s="6" t="str">
        <f aca="false">IF($A2247="","",INDEX(PlanningItemsList,6))</f>
        <v>Accu</v>
      </c>
      <c r="C2247" s="7"/>
      <c r="D2247" s="7"/>
    </row>
    <row r="2248" customFormat="false" ht="15" hidden="false" customHeight="false" outlineLevel="0" collapsed="false">
      <c r="A2248" s="6" t="str">
        <f aca="false">IF('DATA UNIT'!$B114="","",'DATA UNIT'!$B114)</f>
        <v>KT 8251 ZN</v>
      </c>
      <c r="B2248" s="6" t="str">
        <f aca="false">IF($A2248="","",INDEX(PlanningItemsList,7))</f>
        <v>Kampas Kopling Set</v>
      </c>
      <c r="C2248" s="7"/>
      <c r="D2248" s="7"/>
    </row>
    <row r="2249" customFormat="false" ht="15" hidden="false" customHeight="false" outlineLevel="0" collapsed="false">
      <c r="A2249" s="6" t="str">
        <f aca="false">IF('DATA UNIT'!$B114="","",'DATA UNIT'!$B114)</f>
        <v>KT 8251 ZN</v>
      </c>
      <c r="B2249" s="6" t="str">
        <f aca="false">IF($A2249="","",INDEX(PlanningItemsList,8))</f>
        <v>Wiper Blade</v>
      </c>
      <c r="C2249" s="7"/>
      <c r="D2249" s="7"/>
    </row>
    <row r="2250" customFormat="false" ht="15" hidden="false" customHeight="false" outlineLevel="0" collapsed="false">
      <c r="A2250" s="6" t="str">
        <f aca="false">IF('DATA UNIT'!$B114="","",'DATA UNIT'!$B114)</f>
        <v>KT 8251 ZN</v>
      </c>
      <c r="B2250" s="6" t="str">
        <f aca="false">IF($A2250="","",INDEX(PlanningItemsList,9))</f>
        <v>Ban Depan</v>
      </c>
      <c r="C2250" s="7"/>
      <c r="D2250" s="7"/>
    </row>
    <row r="2251" customFormat="false" ht="15" hidden="false" customHeight="false" outlineLevel="0" collapsed="false">
      <c r="A2251" s="6" t="str">
        <f aca="false">IF('DATA UNIT'!$B114="","",'DATA UNIT'!$B114)</f>
        <v>KT 8251 ZN</v>
      </c>
      <c r="B2251" s="6" t="str">
        <f aca="false">IF($A2251="","",INDEX(PlanningItemsList,10))</f>
        <v>Ban Belakang</v>
      </c>
      <c r="C2251" s="7"/>
      <c r="D2251" s="7"/>
    </row>
    <row r="2252" customFormat="false" ht="15" hidden="false" customHeight="false" outlineLevel="0" collapsed="false">
      <c r="A2252" s="6" t="str">
        <f aca="false">IF('DATA UNIT'!$B114="","",'DATA UNIT'!$B114)</f>
        <v>KT 8251 ZN</v>
      </c>
      <c r="B2252" s="6" t="str">
        <f aca="false">IF($A2252="","",INDEX(PlanningItemsList,11))</f>
        <v>Ban Serep</v>
      </c>
      <c r="C2252" s="7"/>
      <c r="D2252" s="7"/>
    </row>
    <row r="2253" customFormat="false" ht="15" hidden="false" customHeight="false" outlineLevel="0" collapsed="false">
      <c r="A2253" s="6" t="str">
        <f aca="false">IF('DATA UNIT'!$B114="","",'DATA UNIT'!$B114)</f>
        <v>KT 8251 ZN</v>
      </c>
      <c r="B2253" s="6" t="str">
        <f aca="false">IF($A2253="","",INDEX(PlanningItemsList,12))</f>
        <v>Greasing</v>
      </c>
      <c r="C2253" s="7"/>
      <c r="D2253" s="7"/>
    </row>
    <row r="2254" customFormat="false" ht="15" hidden="false" customHeight="false" outlineLevel="0" collapsed="false">
      <c r="A2254" s="6" t="str">
        <f aca="false">IF('DATA UNIT'!$B114="","",'DATA UNIT'!$B114)</f>
        <v>KT 8251 ZN</v>
      </c>
      <c r="B2254" s="6" t="str">
        <f aca="false">IF($A2254="","",INDEX(PlanningItemsList,13))</f>
        <v>V-Belt</v>
      </c>
      <c r="C2254" s="7"/>
      <c r="D2254" s="7"/>
    </row>
    <row r="2255" customFormat="false" ht="15" hidden="false" customHeight="false" outlineLevel="0" collapsed="false">
      <c r="A2255" s="6" t="str">
        <f aca="false">IF('DATA UNIT'!$B114="","",'DATA UNIT'!$B114)</f>
        <v>KT 8251 ZN</v>
      </c>
      <c r="B2255" s="6" t="str">
        <f aca="false">IF($A2255="","",INDEX(PlanningItemsList,14))</f>
        <v>Sarung Jok</v>
      </c>
      <c r="C2255" s="7"/>
      <c r="D2255" s="7"/>
    </row>
    <row r="2256" customFormat="false" ht="15" hidden="false" customHeight="false" outlineLevel="0" collapsed="false">
      <c r="A2256" s="6" t="str">
        <f aca="false">IF('DATA UNIT'!$B114="","",'DATA UNIT'!$B114)</f>
        <v>KT 8251 ZN</v>
      </c>
      <c r="B2256" s="6" t="str">
        <f aca="false">IF($A2256="","",INDEX(PlanningItemsList,15))</f>
        <v>Karpet Karet</v>
      </c>
      <c r="C2256" s="7"/>
      <c r="D2256" s="7"/>
    </row>
    <row r="2257" customFormat="false" ht="15" hidden="false" customHeight="false" outlineLevel="0" collapsed="false">
      <c r="A2257" s="6" t="str">
        <f aca="false">IF('DATA UNIT'!$B114="","",'DATA UNIT'!$B114)</f>
        <v>KT 8251 ZN</v>
      </c>
      <c r="B2257" s="6" t="str">
        <f aca="false">IF($A2257="","",INDEX(PlanningItemsList,16))</f>
        <v>Karpet Dasar</v>
      </c>
      <c r="C2257" s="7"/>
      <c r="D2257" s="7"/>
    </row>
    <row r="2258" customFormat="false" ht="15" hidden="false" customHeight="false" outlineLevel="0" collapsed="false">
      <c r="A2258" s="6" t="str">
        <f aca="false">IF('DATA UNIT'!$B114="","",'DATA UNIT'!$B114)</f>
        <v>KT 8251 ZN</v>
      </c>
      <c r="B2258" s="6" t="str">
        <f aca="false">IF($A2258="","",INDEX(PlanningItemsList,17))</f>
        <v>Flushing Radiator</v>
      </c>
      <c r="C2258" s="7"/>
      <c r="D2258" s="7"/>
    </row>
    <row r="2259" customFormat="false" ht="15" hidden="false" customHeight="false" outlineLevel="0" collapsed="false">
      <c r="A2259" s="6" t="str">
        <f aca="false">IF('DATA UNIT'!$B114="","",'DATA UNIT'!$B114)</f>
        <v>KT 8251 ZN</v>
      </c>
      <c r="B2259" s="6" t="str">
        <f aca="false">IF($A2259="","",INDEX(PlanningItemsList,18))</f>
        <v>Flushing Steering</v>
      </c>
      <c r="C2259" s="7"/>
      <c r="D2259" s="7"/>
    </row>
    <row r="2260" customFormat="false" ht="15" hidden="false" customHeight="false" outlineLevel="0" collapsed="false">
      <c r="A2260" s="6" t="str">
        <f aca="false">IF('DATA UNIT'!$B114="","",'DATA UNIT'!$B114)</f>
        <v>KT 8251 ZN</v>
      </c>
      <c r="B2260" s="6" t="str">
        <f aca="false">IF($A2260="","",INDEX(PlanningItemsList,19))</f>
        <v>Flushing Injector</v>
      </c>
      <c r="C2260" s="7"/>
      <c r="D2260" s="7"/>
    </row>
    <row r="2261" customFormat="false" ht="15" hidden="false" customHeight="false" outlineLevel="0" collapsed="false">
      <c r="A2261" s="6" t="str">
        <f aca="false">IF('DATA UNIT'!$B114="","",'DATA UNIT'!$B114)</f>
        <v>KT 8251 ZN</v>
      </c>
      <c r="B2261" s="6" t="str">
        <f aca="false">IF($A2261="","",INDEX(PlanningItemsList,20))</f>
        <v>Flushing Rem</v>
      </c>
      <c r="C2261" s="7"/>
      <c r="D2261" s="7"/>
    </row>
    <row r="2262" customFormat="false" ht="15" hidden="false" customHeight="false" outlineLevel="0" collapsed="false">
      <c r="A2262" s="6" t="str">
        <f aca="false">IF('DATA UNIT'!$B115="","",'DATA UNIT'!$B115)</f>
        <v>KT 8252 ZN</v>
      </c>
      <c r="B2262" s="6" t="str">
        <f aca="false">IF($A2262="","",INDEX(PlanningItemsList,1))</f>
        <v>PM Check / Reguler Services</v>
      </c>
      <c r="C2262" s="7"/>
      <c r="D2262" s="7"/>
    </row>
    <row r="2263" customFormat="false" ht="15" hidden="false" customHeight="false" outlineLevel="0" collapsed="false">
      <c r="A2263" s="6" t="str">
        <f aca="false">IF('DATA UNIT'!$B115="","",'DATA UNIT'!$B115)</f>
        <v>KT 8252 ZN</v>
      </c>
      <c r="B2263" s="6" t="str">
        <f aca="false">IF($A2263="","",INDEX(PlanningItemsList,2))</f>
        <v>Service A</v>
      </c>
      <c r="C2263" s="7"/>
      <c r="D2263" s="7"/>
    </row>
    <row r="2264" customFormat="false" ht="15" hidden="false" customHeight="false" outlineLevel="0" collapsed="false">
      <c r="A2264" s="6" t="str">
        <f aca="false">IF('DATA UNIT'!$B115="","",'DATA UNIT'!$B115)</f>
        <v>KT 8252 ZN</v>
      </c>
      <c r="B2264" s="6" t="str">
        <f aca="false">IF($A2264="","",INDEX(PlanningItemsList,3))</f>
        <v>Service B</v>
      </c>
      <c r="C2264" s="7"/>
      <c r="D2264" s="7"/>
    </row>
    <row r="2265" customFormat="false" ht="15" hidden="false" customHeight="false" outlineLevel="0" collapsed="false">
      <c r="A2265" s="6" t="str">
        <f aca="false">IF('DATA UNIT'!$B115="","",'DATA UNIT'!$B115)</f>
        <v>KT 8252 ZN</v>
      </c>
      <c r="B2265" s="6" t="str">
        <f aca="false">IF($A2265="","",INDEX(PlanningItemsList,4))</f>
        <v>Brake Pad</v>
      </c>
      <c r="C2265" s="7"/>
      <c r="D2265" s="7"/>
    </row>
    <row r="2266" customFormat="false" ht="15" hidden="false" customHeight="false" outlineLevel="0" collapsed="false">
      <c r="A2266" s="6" t="str">
        <f aca="false">IF('DATA UNIT'!$B115="","",'DATA UNIT'!$B115)</f>
        <v>KT 8252 ZN</v>
      </c>
      <c r="B2266" s="6" t="str">
        <f aca="false">IF($A2266="","",INDEX(PlanningItemsList,5))</f>
        <v>Brake Shoe</v>
      </c>
      <c r="C2266" s="7"/>
      <c r="D2266" s="7"/>
    </row>
    <row r="2267" customFormat="false" ht="15" hidden="false" customHeight="false" outlineLevel="0" collapsed="false">
      <c r="A2267" s="6" t="str">
        <f aca="false">IF('DATA UNIT'!$B115="","",'DATA UNIT'!$B115)</f>
        <v>KT 8252 ZN</v>
      </c>
      <c r="B2267" s="6" t="str">
        <f aca="false">IF($A2267="","",INDEX(PlanningItemsList,6))</f>
        <v>Accu</v>
      </c>
      <c r="C2267" s="7"/>
      <c r="D2267" s="7"/>
    </row>
    <row r="2268" customFormat="false" ht="15" hidden="false" customHeight="false" outlineLevel="0" collapsed="false">
      <c r="A2268" s="6" t="str">
        <f aca="false">IF('DATA UNIT'!$B115="","",'DATA UNIT'!$B115)</f>
        <v>KT 8252 ZN</v>
      </c>
      <c r="B2268" s="6" t="str">
        <f aca="false">IF($A2268="","",INDEX(PlanningItemsList,7))</f>
        <v>Kampas Kopling Set</v>
      </c>
      <c r="C2268" s="7"/>
      <c r="D2268" s="7"/>
    </row>
    <row r="2269" customFormat="false" ht="15" hidden="false" customHeight="false" outlineLevel="0" collapsed="false">
      <c r="A2269" s="6" t="str">
        <f aca="false">IF('DATA UNIT'!$B115="","",'DATA UNIT'!$B115)</f>
        <v>KT 8252 ZN</v>
      </c>
      <c r="B2269" s="6" t="str">
        <f aca="false">IF($A2269="","",INDEX(PlanningItemsList,8))</f>
        <v>Wiper Blade</v>
      </c>
      <c r="C2269" s="7"/>
      <c r="D2269" s="7"/>
    </row>
    <row r="2270" customFormat="false" ht="15" hidden="false" customHeight="false" outlineLevel="0" collapsed="false">
      <c r="A2270" s="6" t="str">
        <f aca="false">IF('DATA UNIT'!$B115="","",'DATA UNIT'!$B115)</f>
        <v>KT 8252 ZN</v>
      </c>
      <c r="B2270" s="6" t="str">
        <f aca="false">IF($A2270="","",INDEX(PlanningItemsList,9))</f>
        <v>Ban Depan</v>
      </c>
      <c r="C2270" s="7"/>
      <c r="D2270" s="7"/>
    </row>
    <row r="2271" customFormat="false" ht="15" hidden="false" customHeight="false" outlineLevel="0" collapsed="false">
      <c r="A2271" s="6" t="str">
        <f aca="false">IF('DATA UNIT'!$B115="","",'DATA UNIT'!$B115)</f>
        <v>KT 8252 ZN</v>
      </c>
      <c r="B2271" s="6" t="str">
        <f aca="false">IF($A2271="","",INDEX(PlanningItemsList,10))</f>
        <v>Ban Belakang</v>
      </c>
      <c r="C2271" s="7"/>
      <c r="D2271" s="7"/>
    </row>
    <row r="2272" customFormat="false" ht="15" hidden="false" customHeight="false" outlineLevel="0" collapsed="false">
      <c r="A2272" s="6" t="str">
        <f aca="false">IF('DATA UNIT'!$B115="","",'DATA UNIT'!$B115)</f>
        <v>KT 8252 ZN</v>
      </c>
      <c r="B2272" s="6" t="str">
        <f aca="false">IF($A2272="","",INDEX(PlanningItemsList,11))</f>
        <v>Ban Serep</v>
      </c>
      <c r="C2272" s="7"/>
      <c r="D2272" s="7"/>
    </row>
    <row r="2273" customFormat="false" ht="15" hidden="false" customHeight="false" outlineLevel="0" collapsed="false">
      <c r="A2273" s="6" t="str">
        <f aca="false">IF('DATA UNIT'!$B115="","",'DATA UNIT'!$B115)</f>
        <v>KT 8252 ZN</v>
      </c>
      <c r="B2273" s="6" t="str">
        <f aca="false">IF($A2273="","",INDEX(PlanningItemsList,12))</f>
        <v>Greasing</v>
      </c>
      <c r="C2273" s="7"/>
      <c r="D2273" s="7"/>
    </row>
    <row r="2274" customFormat="false" ht="15" hidden="false" customHeight="false" outlineLevel="0" collapsed="false">
      <c r="A2274" s="6" t="str">
        <f aca="false">IF('DATA UNIT'!$B115="","",'DATA UNIT'!$B115)</f>
        <v>KT 8252 ZN</v>
      </c>
      <c r="B2274" s="6" t="str">
        <f aca="false">IF($A2274="","",INDEX(PlanningItemsList,13))</f>
        <v>V-Belt</v>
      </c>
      <c r="C2274" s="7"/>
      <c r="D2274" s="7"/>
    </row>
    <row r="2275" customFormat="false" ht="15" hidden="false" customHeight="false" outlineLevel="0" collapsed="false">
      <c r="A2275" s="6" t="str">
        <f aca="false">IF('DATA UNIT'!$B115="","",'DATA UNIT'!$B115)</f>
        <v>KT 8252 ZN</v>
      </c>
      <c r="B2275" s="6" t="str">
        <f aca="false">IF($A2275="","",INDEX(PlanningItemsList,14))</f>
        <v>Sarung Jok</v>
      </c>
      <c r="C2275" s="7"/>
      <c r="D2275" s="7"/>
    </row>
    <row r="2276" customFormat="false" ht="15" hidden="false" customHeight="false" outlineLevel="0" collapsed="false">
      <c r="A2276" s="6" t="str">
        <f aca="false">IF('DATA UNIT'!$B115="","",'DATA UNIT'!$B115)</f>
        <v>KT 8252 ZN</v>
      </c>
      <c r="B2276" s="6" t="str">
        <f aca="false">IF($A2276="","",INDEX(PlanningItemsList,15))</f>
        <v>Karpet Karet</v>
      </c>
      <c r="C2276" s="7"/>
      <c r="D2276" s="7"/>
    </row>
    <row r="2277" customFormat="false" ht="15" hidden="false" customHeight="false" outlineLevel="0" collapsed="false">
      <c r="A2277" s="6" t="str">
        <f aca="false">IF('DATA UNIT'!$B115="","",'DATA UNIT'!$B115)</f>
        <v>KT 8252 ZN</v>
      </c>
      <c r="B2277" s="6" t="str">
        <f aca="false">IF($A2277="","",INDEX(PlanningItemsList,16))</f>
        <v>Karpet Dasar</v>
      </c>
      <c r="C2277" s="7"/>
      <c r="D2277" s="7"/>
    </row>
    <row r="2278" customFormat="false" ht="15" hidden="false" customHeight="false" outlineLevel="0" collapsed="false">
      <c r="A2278" s="6" t="str">
        <f aca="false">IF('DATA UNIT'!$B115="","",'DATA UNIT'!$B115)</f>
        <v>KT 8252 ZN</v>
      </c>
      <c r="B2278" s="6" t="str">
        <f aca="false">IF($A2278="","",INDEX(PlanningItemsList,17))</f>
        <v>Flushing Radiator</v>
      </c>
      <c r="C2278" s="7"/>
      <c r="D2278" s="7"/>
    </row>
    <row r="2279" customFormat="false" ht="15" hidden="false" customHeight="false" outlineLevel="0" collapsed="false">
      <c r="A2279" s="6" t="str">
        <f aca="false">IF('DATA UNIT'!$B115="","",'DATA UNIT'!$B115)</f>
        <v>KT 8252 ZN</v>
      </c>
      <c r="B2279" s="6" t="str">
        <f aca="false">IF($A2279="","",INDEX(PlanningItemsList,18))</f>
        <v>Flushing Steering</v>
      </c>
      <c r="C2279" s="7"/>
      <c r="D2279" s="7"/>
    </row>
    <row r="2280" customFormat="false" ht="15" hidden="false" customHeight="false" outlineLevel="0" collapsed="false">
      <c r="A2280" s="6" t="str">
        <f aca="false">IF('DATA UNIT'!$B115="","",'DATA UNIT'!$B115)</f>
        <v>KT 8252 ZN</v>
      </c>
      <c r="B2280" s="6" t="str">
        <f aca="false">IF($A2280="","",INDEX(PlanningItemsList,19))</f>
        <v>Flushing Injector</v>
      </c>
      <c r="C2280" s="7"/>
      <c r="D2280" s="7"/>
    </row>
    <row r="2281" customFormat="false" ht="15" hidden="false" customHeight="false" outlineLevel="0" collapsed="false">
      <c r="A2281" s="6" t="str">
        <f aca="false">IF('DATA UNIT'!$B115="","",'DATA UNIT'!$B115)</f>
        <v>KT 8252 ZN</v>
      </c>
      <c r="B2281" s="6" t="str">
        <f aca="false">IF($A2281="","",INDEX(PlanningItemsList,20))</f>
        <v>Flushing Rem</v>
      </c>
      <c r="C2281" s="7"/>
      <c r="D2281" s="7"/>
    </row>
    <row r="2282" customFormat="false" ht="15" hidden="false" customHeight="false" outlineLevel="0" collapsed="false">
      <c r="A2282" s="6" t="str">
        <f aca="false">IF('DATA UNIT'!$B116="","",'DATA UNIT'!$B116)</f>
        <v>KT 8036 ZO</v>
      </c>
      <c r="B2282" s="6" t="str">
        <f aca="false">IF($A2282="","",INDEX(PlanningItemsList,1))</f>
        <v>PM Check / Reguler Services</v>
      </c>
      <c r="C2282" s="7"/>
      <c r="D2282" s="7"/>
    </row>
    <row r="2283" customFormat="false" ht="15" hidden="false" customHeight="false" outlineLevel="0" collapsed="false">
      <c r="A2283" s="6" t="str">
        <f aca="false">IF('DATA UNIT'!$B116="","",'DATA UNIT'!$B116)</f>
        <v>KT 8036 ZO</v>
      </c>
      <c r="B2283" s="6" t="str">
        <f aca="false">IF($A2283="","",INDEX(PlanningItemsList,2))</f>
        <v>Service A</v>
      </c>
      <c r="C2283" s="7"/>
      <c r="D2283" s="7"/>
    </row>
    <row r="2284" customFormat="false" ht="15" hidden="false" customHeight="false" outlineLevel="0" collapsed="false">
      <c r="A2284" s="6" t="str">
        <f aca="false">IF('DATA UNIT'!$B116="","",'DATA UNIT'!$B116)</f>
        <v>KT 8036 ZO</v>
      </c>
      <c r="B2284" s="6" t="str">
        <f aca="false">IF($A2284="","",INDEX(PlanningItemsList,3))</f>
        <v>Service B</v>
      </c>
      <c r="C2284" s="7"/>
      <c r="D2284" s="7"/>
    </row>
    <row r="2285" customFormat="false" ht="15" hidden="false" customHeight="false" outlineLevel="0" collapsed="false">
      <c r="A2285" s="6" t="str">
        <f aca="false">IF('DATA UNIT'!$B116="","",'DATA UNIT'!$B116)</f>
        <v>KT 8036 ZO</v>
      </c>
      <c r="B2285" s="6" t="str">
        <f aca="false">IF($A2285="","",INDEX(PlanningItemsList,4))</f>
        <v>Brake Pad</v>
      </c>
      <c r="C2285" s="7"/>
      <c r="D2285" s="7"/>
    </row>
    <row r="2286" customFormat="false" ht="15" hidden="false" customHeight="false" outlineLevel="0" collapsed="false">
      <c r="A2286" s="6" t="str">
        <f aca="false">IF('DATA UNIT'!$B116="","",'DATA UNIT'!$B116)</f>
        <v>KT 8036 ZO</v>
      </c>
      <c r="B2286" s="6" t="str">
        <f aca="false">IF($A2286="","",INDEX(PlanningItemsList,5))</f>
        <v>Brake Shoe</v>
      </c>
      <c r="C2286" s="7"/>
      <c r="D2286" s="7"/>
    </row>
    <row r="2287" customFormat="false" ht="15" hidden="false" customHeight="false" outlineLevel="0" collapsed="false">
      <c r="A2287" s="6" t="str">
        <f aca="false">IF('DATA UNIT'!$B116="","",'DATA UNIT'!$B116)</f>
        <v>KT 8036 ZO</v>
      </c>
      <c r="B2287" s="6" t="str">
        <f aca="false">IF($A2287="","",INDEX(PlanningItemsList,6))</f>
        <v>Accu</v>
      </c>
      <c r="C2287" s="7"/>
      <c r="D2287" s="7"/>
    </row>
    <row r="2288" customFormat="false" ht="15" hidden="false" customHeight="false" outlineLevel="0" collapsed="false">
      <c r="A2288" s="6" t="str">
        <f aca="false">IF('DATA UNIT'!$B116="","",'DATA UNIT'!$B116)</f>
        <v>KT 8036 ZO</v>
      </c>
      <c r="B2288" s="6" t="str">
        <f aca="false">IF($A2288="","",INDEX(PlanningItemsList,7))</f>
        <v>Kampas Kopling Set</v>
      </c>
      <c r="C2288" s="7"/>
      <c r="D2288" s="7"/>
    </row>
    <row r="2289" customFormat="false" ht="15" hidden="false" customHeight="false" outlineLevel="0" collapsed="false">
      <c r="A2289" s="6" t="str">
        <f aca="false">IF('DATA UNIT'!$B116="","",'DATA UNIT'!$B116)</f>
        <v>KT 8036 ZO</v>
      </c>
      <c r="B2289" s="6" t="str">
        <f aca="false">IF($A2289="","",INDEX(PlanningItemsList,8))</f>
        <v>Wiper Blade</v>
      </c>
      <c r="C2289" s="7"/>
      <c r="D2289" s="7"/>
    </row>
    <row r="2290" customFormat="false" ht="15" hidden="false" customHeight="false" outlineLevel="0" collapsed="false">
      <c r="A2290" s="6" t="str">
        <f aca="false">IF('DATA UNIT'!$B116="","",'DATA UNIT'!$B116)</f>
        <v>KT 8036 ZO</v>
      </c>
      <c r="B2290" s="6" t="str">
        <f aca="false">IF($A2290="","",INDEX(PlanningItemsList,9))</f>
        <v>Ban Depan</v>
      </c>
      <c r="C2290" s="7"/>
      <c r="D2290" s="7"/>
    </row>
    <row r="2291" customFormat="false" ht="15" hidden="false" customHeight="false" outlineLevel="0" collapsed="false">
      <c r="A2291" s="6" t="str">
        <f aca="false">IF('DATA UNIT'!$B116="","",'DATA UNIT'!$B116)</f>
        <v>KT 8036 ZO</v>
      </c>
      <c r="B2291" s="6" t="str">
        <f aca="false">IF($A2291="","",INDEX(PlanningItemsList,10))</f>
        <v>Ban Belakang</v>
      </c>
      <c r="C2291" s="7"/>
      <c r="D2291" s="7"/>
    </row>
    <row r="2292" customFormat="false" ht="15" hidden="false" customHeight="false" outlineLevel="0" collapsed="false">
      <c r="A2292" s="6" t="str">
        <f aca="false">IF('DATA UNIT'!$B116="","",'DATA UNIT'!$B116)</f>
        <v>KT 8036 ZO</v>
      </c>
      <c r="B2292" s="6" t="str">
        <f aca="false">IF($A2292="","",INDEX(PlanningItemsList,11))</f>
        <v>Ban Serep</v>
      </c>
      <c r="C2292" s="7"/>
      <c r="D2292" s="7"/>
    </row>
    <row r="2293" customFormat="false" ht="15" hidden="false" customHeight="false" outlineLevel="0" collapsed="false">
      <c r="A2293" s="6" t="str">
        <f aca="false">IF('DATA UNIT'!$B116="","",'DATA UNIT'!$B116)</f>
        <v>KT 8036 ZO</v>
      </c>
      <c r="B2293" s="6" t="str">
        <f aca="false">IF($A2293="","",INDEX(PlanningItemsList,12))</f>
        <v>Greasing</v>
      </c>
      <c r="C2293" s="7"/>
      <c r="D2293" s="7"/>
    </row>
    <row r="2294" customFormat="false" ht="15" hidden="false" customHeight="false" outlineLevel="0" collapsed="false">
      <c r="A2294" s="6" t="str">
        <f aca="false">IF('DATA UNIT'!$B116="","",'DATA UNIT'!$B116)</f>
        <v>KT 8036 ZO</v>
      </c>
      <c r="B2294" s="6" t="str">
        <f aca="false">IF($A2294="","",INDEX(PlanningItemsList,13))</f>
        <v>V-Belt</v>
      </c>
      <c r="C2294" s="7"/>
      <c r="D2294" s="7"/>
    </row>
    <row r="2295" customFormat="false" ht="15" hidden="false" customHeight="false" outlineLevel="0" collapsed="false">
      <c r="A2295" s="6" t="str">
        <f aca="false">IF('DATA UNIT'!$B116="","",'DATA UNIT'!$B116)</f>
        <v>KT 8036 ZO</v>
      </c>
      <c r="B2295" s="6" t="str">
        <f aca="false">IF($A2295="","",INDEX(PlanningItemsList,14))</f>
        <v>Sarung Jok</v>
      </c>
      <c r="C2295" s="7"/>
      <c r="D2295" s="7"/>
    </row>
    <row r="2296" customFormat="false" ht="15" hidden="false" customHeight="false" outlineLevel="0" collapsed="false">
      <c r="A2296" s="6" t="str">
        <f aca="false">IF('DATA UNIT'!$B116="","",'DATA UNIT'!$B116)</f>
        <v>KT 8036 ZO</v>
      </c>
      <c r="B2296" s="6" t="str">
        <f aca="false">IF($A2296="","",INDEX(PlanningItemsList,15))</f>
        <v>Karpet Karet</v>
      </c>
      <c r="C2296" s="7"/>
      <c r="D2296" s="7"/>
    </row>
    <row r="2297" customFormat="false" ht="15" hidden="false" customHeight="false" outlineLevel="0" collapsed="false">
      <c r="A2297" s="6" t="str">
        <f aca="false">IF('DATA UNIT'!$B116="","",'DATA UNIT'!$B116)</f>
        <v>KT 8036 ZO</v>
      </c>
      <c r="B2297" s="6" t="str">
        <f aca="false">IF($A2297="","",INDEX(PlanningItemsList,16))</f>
        <v>Karpet Dasar</v>
      </c>
      <c r="C2297" s="7"/>
      <c r="D2297" s="7"/>
    </row>
    <row r="2298" customFormat="false" ht="15" hidden="false" customHeight="false" outlineLevel="0" collapsed="false">
      <c r="A2298" s="6" t="str">
        <f aca="false">IF('DATA UNIT'!$B116="","",'DATA UNIT'!$B116)</f>
        <v>KT 8036 ZO</v>
      </c>
      <c r="B2298" s="6" t="str">
        <f aca="false">IF($A2298="","",INDEX(PlanningItemsList,17))</f>
        <v>Flushing Radiator</v>
      </c>
      <c r="C2298" s="7"/>
      <c r="D2298" s="7"/>
    </row>
    <row r="2299" customFormat="false" ht="15" hidden="false" customHeight="false" outlineLevel="0" collapsed="false">
      <c r="A2299" s="6" t="str">
        <f aca="false">IF('DATA UNIT'!$B116="","",'DATA UNIT'!$B116)</f>
        <v>KT 8036 ZO</v>
      </c>
      <c r="B2299" s="6" t="str">
        <f aca="false">IF($A2299="","",INDEX(PlanningItemsList,18))</f>
        <v>Flushing Steering</v>
      </c>
      <c r="C2299" s="7"/>
      <c r="D2299" s="7"/>
    </row>
    <row r="2300" customFormat="false" ht="15" hidden="false" customHeight="false" outlineLevel="0" collapsed="false">
      <c r="A2300" s="6" t="str">
        <f aca="false">IF('DATA UNIT'!$B116="","",'DATA UNIT'!$B116)</f>
        <v>KT 8036 ZO</v>
      </c>
      <c r="B2300" s="6" t="str">
        <f aca="false">IF($A2300="","",INDEX(PlanningItemsList,19))</f>
        <v>Flushing Injector</v>
      </c>
      <c r="C2300" s="7"/>
      <c r="D2300" s="7"/>
    </row>
    <row r="2301" customFormat="false" ht="15" hidden="false" customHeight="false" outlineLevel="0" collapsed="false">
      <c r="A2301" s="6" t="str">
        <f aca="false">IF('DATA UNIT'!$B116="","",'DATA UNIT'!$B116)</f>
        <v>KT 8036 ZO</v>
      </c>
      <c r="B2301" s="6" t="str">
        <f aca="false">IF($A2301="","",INDEX(PlanningItemsList,20))</f>
        <v>Flushing Rem</v>
      </c>
      <c r="C2301" s="7"/>
      <c r="D2301" s="7"/>
    </row>
    <row r="2302" customFormat="false" ht="15" hidden="false" customHeight="false" outlineLevel="0" collapsed="false">
      <c r="A2302" s="6" t="str">
        <f aca="false">IF('DATA UNIT'!$B117="","",'DATA UNIT'!$B117)</f>
        <v>KT 8037 ZO</v>
      </c>
      <c r="B2302" s="6" t="str">
        <f aca="false">IF($A2302="","",INDEX(PlanningItemsList,1))</f>
        <v>PM Check / Reguler Services</v>
      </c>
      <c r="C2302" s="7"/>
      <c r="D2302" s="7"/>
    </row>
    <row r="2303" customFormat="false" ht="15" hidden="false" customHeight="false" outlineLevel="0" collapsed="false">
      <c r="A2303" s="6" t="str">
        <f aca="false">IF('DATA UNIT'!$B117="","",'DATA UNIT'!$B117)</f>
        <v>KT 8037 ZO</v>
      </c>
      <c r="B2303" s="6" t="str">
        <f aca="false">IF($A2303="","",INDEX(PlanningItemsList,2))</f>
        <v>Service A</v>
      </c>
      <c r="C2303" s="7"/>
      <c r="D2303" s="7"/>
    </row>
    <row r="2304" customFormat="false" ht="15" hidden="false" customHeight="false" outlineLevel="0" collapsed="false">
      <c r="A2304" s="6" t="str">
        <f aca="false">IF('DATA UNIT'!$B117="","",'DATA UNIT'!$B117)</f>
        <v>KT 8037 ZO</v>
      </c>
      <c r="B2304" s="6" t="str">
        <f aca="false">IF($A2304="","",INDEX(PlanningItemsList,3))</f>
        <v>Service B</v>
      </c>
      <c r="C2304" s="7"/>
      <c r="D2304" s="7"/>
    </row>
    <row r="2305" customFormat="false" ht="15" hidden="false" customHeight="false" outlineLevel="0" collapsed="false">
      <c r="A2305" s="6" t="str">
        <f aca="false">IF('DATA UNIT'!$B117="","",'DATA UNIT'!$B117)</f>
        <v>KT 8037 ZO</v>
      </c>
      <c r="B2305" s="6" t="str">
        <f aca="false">IF($A2305="","",INDEX(PlanningItemsList,4))</f>
        <v>Brake Pad</v>
      </c>
      <c r="C2305" s="7"/>
      <c r="D2305" s="7"/>
    </row>
    <row r="2306" customFormat="false" ht="15" hidden="false" customHeight="false" outlineLevel="0" collapsed="false">
      <c r="A2306" s="6" t="str">
        <f aca="false">IF('DATA UNIT'!$B117="","",'DATA UNIT'!$B117)</f>
        <v>KT 8037 ZO</v>
      </c>
      <c r="B2306" s="6" t="str">
        <f aca="false">IF($A2306="","",INDEX(PlanningItemsList,5))</f>
        <v>Brake Shoe</v>
      </c>
      <c r="C2306" s="7"/>
      <c r="D2306" s="7"/>
    </row>
    <row r="2307" customFormat="false" ht="15" hidden="false" customHeight="false" outlineLevel="0" collapsed="false">
      <c r="A2307" s="6" t="str">
        <f aca="false">IF('DATA UNIT'!$B117="","",'DATA UNIT'!$B117)</f>
        <v>KT 8037 ZO</v>
      </c>
      <c r="B2307" s="6" t="str">
        <f aca="false">IF($A2307="","",INDEX(PlanningItemsList,6))</f>
        <v>Accu</v>
      </c>
      <c r="C2307" s="7"/>
      <c r="D2307" s="7"/>
    </row>
    <row r="2308" customFormat="false" ht="15" hidden="false" customHeight="false" outlineLevel="0" collapsed="false">
      <c r="A2308" s="6" t="str">
        <f aca="false">IF('DATA UNIT'!$B117="","",'DATA UNIT'!$B117)</f>
        <v>KT 8037 ZO</v>
      </c>
      <c r="B2308" s="6" t="str">
        <f aca="false">IF($A2308="","",INDEX(PlanningItemsList,7))</f>
        <v>Kampas Kopling Set</v>
      </c>
      <c r="C2308" s="7"/>
      <c r="D2308" s="7"/>
    </row>
    <row r="2309" customFormat="false" ht="15" hidden="false" customHeight="false" outlineLevel="0" collapsed="false">
      <c r="A2309" s="6" t="str">
        <f aca="false">IF('DATA UNIT'!$B117="","",'DATA UNIT'!$B117)</f>
        <v>KT 8037 ZO</v>
      </c>
      <c r="B2309" s="6" t="str">
        <f aca="false">IF($A2309="","",INDEX(PlanningItemsList,8))</f>
        <v>Wiper Blade</v>
      </c>
      <c r="C2309" s="7"/>
      <c r="D2309" s="7"/>
    </row>
    <row r="2310" customFormat="false" ht="15" hidden="false" customHeight="false" outlineLevel="0" collapsed="false">
      <c r="A2310" s="6" t="str">
        <f aca="false">IF('DATA UNIT'!$B117="","",'DATA UNIT'!$B117)</f>
        <v>KT 8037 ZO</v>
      </c>
      <c r="B2310" s="6" t="str">
        <f aca="false">IF($A2310="","",INDEX(PlanningItemsList,9))</f>
        <v>Ban Depan</v>
      </c>
      <c r="C2310" s="7"/>
      <c r="D2310" s="7"/>
    </row>
    <row r="2311" customFormat="false" ht="15" hidden="false" customHeight="false" outlineLevel="0" collapsed="false">
      <c r="A2311" s="6" t="str">
        <f aca="false">IF('DATA UNIT'!$B117="","",'DATA UNIT'!$B117)</f>
        <v>KT 8037 ZO</v>
      </c>
      <c r="B2311" s="6" t="str">
        <f aca="false">IF($A2311="","",INDEX(PlanningItemsList,10))</f>
        <v>Ban Belakang</v>
      </c>
      <c r="C2311" s="7"/>
      <c r="D2311" s="7"/>
    </row>
    <row r="2312" customFormat="false" ht="15" hidden="false" customHeight="false" outlineLevel="0" collapsed="false">
      <c r="A2312" s="6" t="str">
        <f aca="false">IF('DATA UNIT'!$B117="","",'DATA UNIT'!$B117)</f>
        <v>KT 8037 ZO</v>
      </c>
      <c r="B2312" s="6" t="str">
        <f aca="false">IF($A2312="","",INDEX(PlanningItemsList,11))</f>
        <v>Ban Serep</v>
      </c>
      <c r="C2312" s="7"/>
      <c r="D2312" s="7"/>
    </row>
    <row r="2313" customFormat="false" ht="15" hidden="false" customHeight="false" outlineLevel="0" collapsed="false">
      <c r="A2313" s="6" t="str">
        <f aca="false">IF('DATA UNIT'!$B117="","",'DATA UNIT'!$B117)</f>
        <v>KT 8037 ZO</v>
      </c>
      <c r="B2313" s="6" t="str">
        <f aca="false">IF($A2313="","",INDEX(PlanningItemsList,12))</f>
        <v>Greasing</v>
      </c>
      <c r="C2313" s="7"/>
      <c r="D2313" s="7"/>
    </row>
    <row r="2314" customFormat="false" ht="15" hidden="false" customHeight="false" outlineLevel="0" collapsed="false">
      <c r="A2314" s="6" t="str">
        <f aca="false">IF('DATA UNIT'!$B117="","",'DATA UNIT'!$B117)</f>
        <v>KT 8037 ZO</v>
      </c>
      <c r="B2314" s="6" t="str">
        <f aca="false">IF($A2314="","",INDEX(PlanningItemsList,13))</f>
        <v>V-Belt</v>
      </c>
      <c r="C2314" s="7"/>
      <c r="D2314" s="7"/>
    </row>
    <row r="2315" customFormat="false" ht="15" hidden="false" customHeight="false" outlineLevel="0" collapsed="false">
      <c r="A2315" s="6" t="str">
        <f aca="false">IF('DATA UNIT'!$B117="","",'DATA UNIT'!$B117)</f>
        <v>KT 8037 ZO</v>
      </c>
      <c r="B2315" s="6" t="str">
        <f aca="false">IF($A2315="","",INDEX(PlanningItemsList,14))</f>
        <v>Sarung Jok</v>
      </c>
      <c r="C2315" s="7"/>
      <c r="D2315" s="7"/>
    </row>
    <row r="2316" customFormat="false" ht="15" hidden="false" customHeight="false" outlineLevel="0" collapsed="false">
      <c r="A2316" s="6" t="str">
        <f aca="false">IF('DATA UNIT'!$B117="","",'DATA UNIT'!$B117)</f>
        <v>KT 8037 ZO</v>
      </c>
      <c r="B2316" s="6" t="str">
        <f aca="false">IF($A2316="","",INDEX(PlanningItemsList,15))</f>
        <v>Karpet Karet</v>
      </c>
      <c r="C2316" s="7"/>
      <c r="D2316" s="7"/>
    </row>
    <row r="2317" customFormat="false" ht="15" hidden="false" customHeight="false" outlineLevel="0" collapsed="false">
      <c r="A2317" s="6" t="str">
        <f aca="false">IF('DATA UNIT'!$B117="","",'DATA UNIT'!$B117)</f>
        <v>KT 8037 ZO</v>
      </c>
      <c r="B2317" s="6" t="str">
        <f aca="false">IF($A2317="","",INDEX(PlanningItemsList,16))</f>
        <v>Karpet Dasar</v>
      </c>
      <c r="C2317" s="7"/>
      <c r="D2317" s="7"/>
    </row>
    <row r="2318" customFormat="false" ht="15" hidden="false" customHeight="false" outlineLevel="0" collapsed="false">
      <c r="A2318" s="6" t="str">
        <f aca="false">IF('DATA UNIT'!$B117="","",'DATA UNIT'!$B117)</f>
        <v>KT 8037 ZO</v>
      </c>
      <c r="B2318" s="6" t="str">
        <f aca="false">IF($A2318="","",INDEX(PlanningItemsList,17))</f>
        <v>Flushing Radiator</v>
      </c>
      <c r="C2318" s="7"/>
      <c r="D2318" s="7"/>
    </row>
    <row r="2319" customFormat="false" ht="15" hidden="false" customHeight="false" outlineLevel="0" collapsed="false">
      <c r="A2319" s="6" t="str">
        <f aca="false">IF('DATA UNIT'!$B117="","",'DATA UNIT'!$B117)</f>
        <v>KT 8037 ZO</v>
      </c>
      <c r="B2319" s="6" t="str">
        <f aca="false">IF($A2319="","",INDEX(PlanningItemsList,18))</f>
        <v>Flushing Steering</v>
      </c>
      <c r="C2319" s="7"/>
      <c r="D2319" s="7"/>
    </row>
    <row r="2320" customFormat="false" ht="15" hidden="false" customHeight="false" outlineLevel="0" collapsed="false">
      <c r="A2320" s="6" t="str">
        <f aca="false">IF('DATA UNIT'!$B117="","",'DATA UNIT'!$B117)</f>
        <v>KT 8037 ZO</v>
      </c>
      <c r="B2320" s="6" t="str">
        <f aca="false">IF($A2320="","",INDEX(PlanningItemsList,19))</f>
        <v>Flushing Injector</v>
      </c>
      <c r="C2320" s="7"/>
      <c r="D2320" s="7"/>
    </row>
    <row r="2321" customFormat="false" ht="15" hidden="false" customHeight="false" outlineLevel="0" collapsed="false">
      <c r="A2321" s="6" t="str">
        <f aca="false">IF('DATA UNIT'!$B117="","",'DATA UNIT'!$B117)</f>
        <v>KT 8037 ZO</v>
      </c>
      <c r="B2321" s="6" t="str">
        <f aca="false">IF($A2321="","",INDEX(PlanningItemsList,20))</f>
        <v>Flushing Rem</v>
      </c>
      <c r="C2321" s="7"/>
      <c r="D2321" s="7"/>
    </row>
    <row r="2322" customFormat="false" ht="15" hidden="false" customHeight="false" outlineLevel="0" collapsed="false">
      <c r="A2322" s="6" t="str">
        <f aca="false">IF('DATA UNIT'!$B118="","",'DATA UNIT'!$B118)</f>
        <v>KT 8079 ZO</v>
      </c>
      <c r="B2322" s="6" t="str">
        <f aca="false">IF($A2322="","",INDEX(PlanningItemsList,1))</f>
        <v>PM Check / Reguler Services</v>
      </c>
      <c r="C2322" s="7"/>
      <c r="D2322" s="7"/>
    </row>
    <row r="2323" customFormat="false" ht="15" hidden="false" customHeight="false" outlineLevel="0" collapsed="false">
      <c r="A2323" s="6" t="str">
        <f aca="false">IF('DATA UNIT'!$B118="","",'DATA UNIT'!$B118)</f>
        <v>KT 8079 ZO</v>
      </c>
      <c r="B2323" s="6" t="str">
        <f aca="false">IF($A2323="","",INDEX(PlanningItemsList,2))</f>
        <v>Service A</v>
      </c>
      <c r="C2323" s="7"/>
      <c r="D2323" s="7"/>
    </row>
    <row r="2324" customFormat="false" ht="15" hidden="false" customHeight="false" outlineLevel="0" collapsed="false">
      <c r="A2324" s="6" t="str">
        <f aca="false">IF('DATA UNIT'!$B118="","",'DATA UNIT'!$B118)</f>
        <v>KT 8079 ZO</v>
      </c>
      <c r="B2324" s="6" t="str">
        <f aca="false">IF($A2324="","",INDEX(PlanningItemsList,3))</f>
        <v>Service B</v>
      </c>
      <c r="C2324" s="7"/>
      <c r="D2324" s="7"/>
    </row>
    <row r="2325" customFormat="false" ht="15" hidden="false" customHeight="false" outlineLevel="0" collapsed="false">
      <c r="A2325" s="6" t="str">
        <f aca="false">IF('DATA UNIT'!$B118="","",'DATA UNIT'!$B118)</f>
        <v>KT 8079 ZO</v>
      </c>
      <c r="B2325" s="6" t="str">
        <f aca="false">IF($A2325="","",INDEX(PlanningItemsList,4))</f>
        <v>Brake Pad</v>
      </c>
      <c r="C2325" s="7"/>
      <c r="D2325" s="7"/>
    </row>
    <row r="2326" customFormat="false" ht="15" hidden="false" customHeight="false" outlineLevel="0" collapsed="false">
      <c r="A2326" s="6" t="str">
        <f aca="false">IF('DATA UNIT'!$B118="","",'DATA UNIT'!$B118)</f>
        <v>KT 8079 ZO</v>
      </c>
      <c r="B2326" s="6" t="str">
        <f aca="false">IF($A2326="","",INDEX(PlanningItemsList,5))</f>
        <v>Brake Shoe</v>
      </c>
      <c r="C2326" s="7"/>
      <c r="D2326" s="7"/>
    </row>
    <row r="2327" customFormat="false" ht="15" hidden="false" customHeight="false" outlineLevel="0" collapsed="false">
      <c r="A2327" s="6" t="str">
        <f aca="false">IF('DATA UNIT'!$B118="","",'DATA UNIT'!$B118)</f>
        <v>KT 8079 ZO</v>
      </c>
      <c r="B2327" s="6" t="str">
        <f aca="false">IF($A2327="","",INDEX(PlanningItemsList,6))</f>
        <v>Accu</v>
      </c>
      <c r="C2327" s="7"/>
      <c r="D2327" s="7"/>
    </row>
    <row r="2328" customFormat="false" ht="15" hidden="false" customHeight="false" outlineLevel="0" collapsed="false">
      <c r="A2328" s="6" t="str">
        <f aca="false">IF('DATA UNIT'!$B118="","",'DATA UNIT'!$B118)</f>
        <v>KT 8079 ZO</v>
      </c>
      <c r="B2328" s="6" t="str">
        <f aca="false">IF($A2328="","",INDEX(PlanningItemsList,7))</f>
        <v>Kampas Kopling Set</v>
      </c>
      <c r="C2328" s="7"/>
      <c r="D2328" s="7"/>
    </row>
    <row r="2329" customFormat="false" ht="15" hidden="false" customHeight="false" outlineLevel="0" collapsed="false">
      <c r="A2329" s="6" t="str">
        <f aca="false">IF('DATA UNIT'!$B118="","",'DATA UNIT'!$B118)</f>
        <v>KT 8079 ZO</v>
      </c>
      <c r="B2329" s="6" t="str">
        <f aca="false">IF($A2329="","",INDEX(PlanningItemsList,8))</f>
        <v>Wiper Blade</v>
      </c>
      <c r="C2329" s="7"/>
      <c r="D2329" s="7"/>
    </row>
    <row r="2330" customFormat="false" ht="15" hidden="false" customHeight="false" outlineLevel="0" collapsed="false">
      <c r="A2330" s="6" t="str">
        <f aca="false">IF('DATA UNIT'!$B118="","",'DATA UNIT'!$B118)</f>
        <v>KT 8079 ZO</v>
      </c>
      <c r="B2330" s="6" t="str">
        <f aca="false">IF($A2330="","",INDEX(PlanningItemsList,9))</f>
        <v>Ban Depan</v>
      </c>
      <c r="C2330" s="7"/>
      <c r="D2330" s="7"/>
    </row>
    <row r="2331" customFormat="false" ht="15" hidden="false" customHeight="false" outlineLevel="0" collapsed="false">
      <c r="A2331" s="6" t="str">
        <f aca="false">IF('DATA UNIT'!$B118="","",'DATA UNIT'!$B118)</f>
        <v>KT 8079 ZO</v>
      </c>
      <c r="B2331" s="6" t="str">
        <f aca="false">IF($A2331="","",INDEX(PlanningItemsList,10))</f>
        <v>Ban Belakang</v>
      </c>
      <c r="C2331" s="7"/>
      <c r="D2331" s="7"/>
    </row>
    <row r="2332" customFormat="false" ht="15" hidden="false" customHeight="false" outlineLevel="0" collapsed="false">
      <c r="A2332" s="6" t="str">
        <f aca="false">IF('DATA UNIT'!$B118="","",'DATA UNIT'!$B118)</f>
        <v>KT 8079 ZO</v>
      </c>
      <c r="B2332" s="6" t="str">
        <f aca="false">IF($A2332="","",INDEX(PlanningItemsList,11))</f>
        <v>Ban Serep</v>
      </c>
      <c r="C2332" s="7"/>
      <c r="D2332" s="7"/>
    </row>
    <row r="2333" customFormat="false" ht="15" hidden="false" customHeight="false" outlineLevel="0" collapsed="false">
      <c r="A2333" s="6" t="str">
        <f aca="false">IF('DATA UNIT'!$B118="","",'DATA UNIT'!$B118)</f>
        <v>KT 8079 ZO</v>
      </c>
      <c r="B2333" s="6" t="str">
        <f aca="false">IF($A2333="","",INDEX(PlanningItemsList,12))</f>
        <v>Greasing</v>
      </c>
      <c r="C2333" s="7"/>
      <c r="D2333" s="7"/>
    </row>
    <row r="2334" customFormat="false" ht="15" hidden="false" customHeight="false" outlineLevel="0" collapsed="false">
      <c r="A2334" s="6" t="str">
        <f aca="false">IF('DATA UNIT'!$B118="","",'DATA UNIT'!$B118)</f>
        <v>KT 8079 ZO</v>
      </c>
      <c r="B2334" s="6" t="str">
        <f aca="false">IF($A2334="","",INDEX(PlanningItemsList,13))</f>
        <v>V-Belt</v>
      </c>
      <c r="C2334" s="7"/>
      <c r="D2334" s="7"/>
    </row>
    <row r="2335" customFormat="false" ht="15" hidden="false" customHeight="false" outlineLevel="0" collapsed="false">
      <c r="A2335" s="6" t="str">
        <f aca="false">IF('DATA UNIT'!$B118="","",'DATA UNIT'!$B118)</f>
        <v>KT 8079 ZO</v>
      </c>
      <c r="B2335" s="6" t="str">
        <f aca="false">IF($A2335="","",INDEX(PlanningItemsList,14))</f>
        <v>Sarung Jok</v>
      </c>
      <c r="C2335" s="7"/>
      <c r="D2335" s="7"/>
    </row>
    <row r="2336" customFormat="false" ht="15" hidden="false" customHeight="false" outlineLevel="0" collapsed="false">
      <c r="A2336" s="6" t="str">
        <f aca="false">IF('DATA UNIT'!$B118="","",'DATA UNIT'!$B118)</f>
        <v>KT 8079 ZO</v>
      </c>
      <c r="B2336" s="6" t="str">
        <f aca="false">IF($A2336="","",INDEX(PlanningItemsList,15))</f>
        <v>Karpet Karet</v>
      </c>
      <c r="C2336" s="7"/>
      <c r="D2336" s="7"/>
    </row>
    <row r="2337" customFormat="false" ht="15" hidden="false" customHeight="false" outlineLevel="0" collapsed="false">
      <c r="A2337" s="6" t="str">
        <f aca="false">IF('DATA UNIT'!$B118="","",'DATA UNIT'!$B118)</f>
        <v>KT 8079 ZO</v>
      </c>
      <c r="B2337" s="6" t="str">
        <f aca="false">IF($A2337="","",INDEX(PlanningItemsList,16))</f>
        <v>Karpet Dasar</v>
      </c>
      <c r="C2337" s="7"/>
      <c r="D2337" s="7"/>
    </row>
    <row r="2338" customFormat="false" ht="15" hidden="false" customHeight="false" outlineLevel="0" collapsed="false">
      <c r="A2338" s="6" t="str">
        <f aca="false">IF('DATA UNIT'!$B118="","",'DATA UNIT'!$B118)</f>
        <v>KT 8079 ZO</v>
      </c>
      <c r="B2338" s="6" t="str">
        <f aca="false">IF($A2338="","",INDEX(PlanningItemsList,17))</f>
        <v>Flushing Radiator</v>
      </c>
      <c r="C2338" s="7"/>
      <c r="D2338" s="7"/>
    </row>
    <row r="2339" customFormat="false" ht="15" hidden="false" customHeight="false" outlineLevel="0" collapsed="false">
      <c r="A2339" s="6" t="str">
        <f aca="false">IF('DATA UNIT'!$B118="","",'DATA UNIT'!$B118)</f>
        <v>KT 8079 ZO</v>
      </c>
      <c r="B2339" s="6" t="str">
        <f aca="false">IF($A2339="","",INDEX(PlanningItemsList,18))</f>
        <v>Flushing Steering</v>
      </c>
      <c r="C2339" s="7"/>
      <c r="D2339" s="7"/>
    </row>
    <row r="2340" customFormat="false" ht="15" hidden="false" customHeight="false" outlineLevel="0" collapsed="false">
      <c r="A2340" s="6" t="str">
        <f aca="false">IF('DATA UNIT'!$B118="","",'DATA UNIT'!$B118)</f>
        <v>KT 8079 ZO</v>
      </c>
      <c r="B2340" s="6" t="str">
        <f aca="false">IF($A2340="","",INDEX(PlanningItemsList,19))</f>
        <v>Flushing Injector</v>
      </c>
      <c r="C2340" s="7"/>
      <c r="D2340" s="7"/>
    </row>
    <row r="2341" customFormat="false" ht="15" hidden="false" customHeight="false" outlineLevel="0" collapsed="false">
      <c r="A2341" s="6" t="str">
        <f aca="false">IF('DATA UNIT'!$B118="","",'DATA UNIT'!$B118)</f>
        <v>KT 8079 ZO</v>
      </c>
      <c r="B2341" s="6" t="str">
        <f aca="false">IF($A2341="","",INDEX(PlanningItemsList,20))</f>
        <v>Flushing Rem</v>
      </c>
      <c r="C2341" s="7"/>
      <c r="D2341" s="7"/>
    </row>
    <row r="2342" customFormat="false" ht="15" hidden="false" customHeight="false" outlineLevel="0" collapsed="false">
      <c r="A2342" s="6" t="str">
        <f aca="false">IF('DATA UNIT'!$B119="","",'DATA UNIT'!$B119)</f>
        <v>KT 8082 ZO</v>
      </c>
      <c r="B2342" s="6" t="str">
        <f aca="false">IF($A2342="","",INDEX(PlanningItemsList,1))</f>
        <v>PM Check / Reguler Services</v>
      </c>
      <c r="C2342" s="7"/>
      <c r="D2342" s="7"/>
    </row>
    <row r="2343" customFormat="false" ht="15" hidden="false" customHeight="false" outlineLevel="0" collapsed="false">
      <c r="A2343" s="6" t="str">
        <f aca="false">IF('DATA UNIT'!$B119="","",'DATA UNIT'!$B119)</f>
        <v>KT 8082 ZO</v>
      </c>
      <c r="B2343" s="6" t="str">
        <f aca="false">IF($A2343="","",INDEX(PlanningItemsList,2))</f>
        <v>Service A</v>
      </c>
      <c r="C2343" s="7"/>
      <c r="D2343" s="7"/>
    </row>
    <row r="2344" customFormat="false" ht="15" hidden="false" customHeight="false" outlineLevel="0" collapsed="false">
      <c r="A2344" s="6" t="str">
        <f aca="false">IF('DATA UNIT'!$B119="","",'DATA UNIT'!$B119)</f>
        <v>KT 8082 ZO</v>
      </c>
      <c r="B2344" s="6" t="str">
        <f aca="false">IF($A2344="","",INDEX(PlanningItemsList,3))</f>
        <v>Service B</v>
      </c>
      <c r="C2344" s="7"/>
      <c r="D2344" s="7"/>
    </row>
    <row r="2345" customFormat="false" ht="15" hidden="false" customHeight="false" outlineLevel="0" collapsed="false">
      <c r="A2345" s="6" t="str">
        <f aca="false">IF('DATA UNIT'!$B119="","",'DATA UNIT'!$B119)</f>
        <v>KT 8082 ZO</v>
      </c>
      <c r="B2345" s="6" t="str">
        <f aca="false">IF($A2345="","",INDEX(PlanningItemsList,4))</f>
        <v>Brake Pad</v>
      </c>
      <c r="C2345" s="7"/>
      <c r="D2345" s="7"/>
    </row>
    <row r="2346" customFormat="false" ht="15" hidden="false" customHeight="false" outlineLevel="0" collapsed="false">
      <c r="A2346" s="6" t="str">
        <f aca="false">IF('DATA UNIT'!$B119="","",'DATA UNIT'!$B119)</f>
        <v>KT 8082 ZO</v>
      </c>
      <c r="B2346" s="6" t="str">
        <f aca="false">IF($A2346="","",INDEX(PlanningItemsList,5))</f>
        <v>Brake Shoe</v>
      </c>
      <c r="C2346" s="7"/>
      <c r="D2346" s="7"/>
    </row>
    <row r="2347" customFormat="false" ht="15" hidden="false" customHeight="false" outlineLevel="0" collapsed="false">
      <c r="A2347" s="6" t="str">
        <f aca="false">IF('DATA UNIT'!$B119="","",'DATA UNIT'!$B119)</f>
        <v>KT 8082 ZO</v>
      </c>
      <c r="B2347" s="6" t="str">
        <f aca="false">IF($A2347="","",INDEX(PlanningItemsList,6))</f>
        <v>Accu</v>
      </c>
      <c r="C2347" s="7"/>
      <c r="D2347" s="7"/>
    </row>
    <row r="2348" customFormat="false" ht="15" hidden="false" customHeight="false" outlineLevel="0" collapsed="false">
      <c r="A2348" s="6" t="str">
        <f aca="false">IF('DATA UNIT'!$B119="","",'DATA UNIT'!$B119)</f>
        <v>KT 8082 ZO</v>
      </c>
      <c r="B2348" s="6" t="str">
        <f aca="false">IF($A2348="","",INDEX(PlanningItemsList,7))</f>
        <v>Kampas Kopling Set</v>
      </c>
      <c r="C2348" s="7"/>
      <c r="D2348" s="7"/>
    </row>
    <row r="2349" customFormat="false" ht="15" hidden="false" customHeight="false" outlineLevel="0" collapsed="false">
      <c r="A2349" s="6" t="str">
        <f aca="false">IF('DATA UNIT'!$B119="","",'DATA UNIT'!$B119)</f>
        <v>KT 8082 ZO</v>
      </c>
      <c r="B2349" s="6" t="str">
        <f aca="false">IF($A2349="","",INDEX(PlanningItemsList,8))</f>
        <v>Wiper Blade</v>
      </c>
      <c r="C2349" s="7"/>
      <c r="D2349" s="7"/>
    </row>
    <row r="2350" customFormat="false" ht="15" hidden="false" customHeight="false" outlineLevel="0" collapsed="false">
      <c r="A2350" s="6" t="str">
        <f aca="false">IF('DATA UNIT'!$B119="","",'DATA UNIT'!$B119)</f>
        <v>KT 8082 ZO</v>
      </c>
      <c r="B2350" s="6" t="str">
        <f aca="false">IF($A2350="","",INDEX(PlanningItemsList,9))</f>
        <v>Ban Depan</v>
      </c>
      <c r="C2350" s="7"/>
      <c r="D2350" s="7"/>
    </row>
    <row r="2351" customFormat="false" ht="15" hidden="false" customHeight="false" outlineLevel="0" collapsed="false">
      <c r="A2351" s="6" t="str">
        <f aca="false">IF('DATA UNIT'!$B119="","",'DATA UNIT'!$B119)</f>
        <v>KT 8082 ZO</v>
      </c>
      <c r="B2351" s="6" t="str">
        <f aca="false">IF($A2351="","",INDEX(PlanningItemsList,10))</f>
        <v>Ban Belakang</v>
      </c>
      <c r="C2351" s="7"/>
      <c r="D2351" s="7"/>
    </row>
    <row r="2352" customFormat="false" ht="15" hidden="false" customHeight="false" outlineLevel="0" collapsed="false">
      <c r="A2352" s="6" t="str">
        <f aca="false">IF('DATA UNIT'!$B119="","",'DATA UNIT'!$B119)</f>
        <v>KT 8082 ZO</v>
      </c>
      <c r="B2352" s="6" t="str">
        <f aca="false">IF($A2352="","",INDEX(PlanningItemsList,11))</f>
        <v>Ban Serep</v>
      </c>
      <c r="C2352" s="7"/>
      <c r="D2352" s="7"/>
    </row>
    <row r="2353" customFormat="false" ht="15" hidden="false" customHeight="false" outlineLevel="0" collapsed="false">
      <c r="A2353" s="6" t="str">
        <f aca="false">IF('DATA UNIT'!$B119="","",'DATA UNIT'!$B119)</f>
        <v>KT 8082 ZO</v>
      </c>
      <c r="B2353" s="6" t="str">
        <f aca="false">IF($A2353="","",INDEX(PlanningItemsList,12))</f>
        <v>Greasing</v>
      </c>
      <c r="C2353" s="7"/>
      <c r="D2353" s="7"/>
    </row>
    <row r="2354" customFormat="false" ht="15" hidden="false" customHeight="false" outlineLevel="0" collapsed="false">
      <c r="A2354" s="6" t="str">
        <f aca="false">IF('DATA UNIT'!$B119="","",'DATA UNIT'!$B119)</f>
        <v>KT 8082 ZO</v>
      </c>
      <c r="B2354" s="6" t="str">
        <f aca="false">IF($A2354="","",INDEX(PlanningItemsList,13))</f>
        <v>V-Belt</v>
      </c>
      <c r="C2354" s="7"/>
      <c r="D2354" s="7"/>
    </row>
    <row r="2355" customFormat="false" ht="15" hidden="false" customHeight="false" outlineLevel="0" collapsed="false">
      <c r="A2355" s="6" t="str">
        <f aca="false">IF('DATA UNIT'!$B119="","",'DATA UNIT'!$B119)</f>
        <v>KT 8082 ZO</v>
      </c>
      <c r="B2355" s="6" t="str">
        <f aca="false">IF($A2355="","",INDEX(PlanningItemsList,14))</f>
        <v>Sarung Jok</v>
      </c>
      <c r="C2355" s="7"/>
      <c r="D2355" s="7"/>
    </row>
    <row r="2356" customFormat="false" ht="15" hidden="false" customHeight="false" outlineLevel="0" collapsed="false">
      <c r="A2356" s="6" t="str">
        <f aca="false">IF('DATA UNIT'!$B119="","",'DATA UNIT'!$B119)</f>
        <v>KT 8082 ZO</v>
      </c>
      <c r="B2356" s="6" t="str">
        <f aca="false">IF($A2356="","",INDEX(PlanningItemsList,15))</f>
        <v>Karpet Karet</v>
      </c>
      <c r="C2356" s="7"/>
      <c r="D2356" s="7"/>
    </row>
    <row r="2357" customFormat="false" ht="15" hidden="false" customHeight="false" outlineLevel="0" collapsed="false">
      <c r="A2357" s="6" t="str">
        <f aca="false">IF('DATA UNIT'!$B119="","",'DATA UNIT'!$B119)</f>
        <v>KT 8082 ZO</v>
      </c>
      <c r="B2357" s="6" t="str">
        <f aca="false">IF($A2357="","",INDEX(PlanningItemsList,16))</f>
        <v>Karpet Dasar</v>
      </c>
      <c r="C2357" s="7"/>
      <c r="D2357" s="7"/>
    </row>
    <row r="2358" customFormat="false" ht="15" hidden="false" customHeight="false" outlineLevel="0" collapsed="false">
      <c r="A2358" s="6" t="str">
        <f aca="false">IF('DATA UNIT'!$B119="","",'DATA UNIT'!$B119)</f>
        <v>KT 8082 ZO</v>
      </c>
      <c r="B2358" s="6" t="str">
        <f aca="false">IF($A2358="","",INDEX(PlanningItemsList,17))</f>
        <v>Flushing Radiator</v>
      </c>
      <c r="C2358" s="7"/>
      <c r="D2358" s="7"/>
    </row>
    <row r="2359" customFormat="false" ht="15" hidden="false" customHeight="false" outlineLevel="0" collapsed="false">
      <c r="A2359" s="6" t="str">
        <f aca="false">IF('DATA UNIT'!$B119="","",'DATA UNIT'!$B119)</f>
        <v>KT 8082 ZO</v>
      </c>
      <c r="B2359" s="6" t="str">
        <f aca="false">IF($A2359="","",INDEX(PlanningItemsList,18))</f>
        <v>Flushing Steering</v>
      </c>
      <c r="C2359" s="7"/>
      <c r="D2359" s="7"/>
    </row>
    <row r="2360" customFormat="false" ht="15" hidden="false" customHeight="false" outlineLevel="0" collapsed="false">
      <c r="A2360" s="6" t="str">
        <f aca="false">IF('DATA UNIT'!$B119="","",'DATA UNIT'!$B119)</f>
        <v>KT 8082 ZO</v>
      </c>
      <c r="B2360" s="6" t="str">
        <f aca="false">IF($A2360="","",INDEX(PlanningItemsList,19))</f>
        <v>Flushing Injector</v>
      </c>
      <c r="C2360" s="7"/>
      <c r="D2360" s="7"/>
    </row>
    <row r="2361" customFormat="false" ht="15" hidden="false" customHeight="false" outlineLevel="0" collapsed="false">
      <c r="A2361" s="6" t="str">
        <f aca="false">IF('DATA UNIT'!$B119="","",'DATA UNIT'!$B119)</f>
        <v>KT 8082 ZO</v>
      </c>
      <c r="B2361" s="6" t="str">
        <f aca="false">IF($A2361="","",INDEX(PlanningItemsList,20))</f>
        <v>Flushing Rem</v>
      </c>
      <c r="C2361" s="7"/>
      <c r="D2361" s="7"/>
    </row>
    <row r="2362" customFormat="false" ht="15" hidden="false" customHeight="false" outlineLevel="0" collapsed="false">
      <c r="A2362" s="6" t="str">
        <f aca="false">IF('DATA UNIT'!$B120="","",'DATA UNIT'!$B120)</f>
        <v>KT 8192 ZO</v>
      </c>
      <c r="B2362" s="6" t="str">
        <f aca="false">IF($A2362="","",INDEX(PlanningItemsList,1))</f>
        <v>PM Check / Reguler Services</v>
      </c>
      <c r="C2362" s="7"/>
      <c r="D2362" s="7"/>
    </row>
    <row r="2363" customFormat="false" ht="15" hidden="false" customHeight="false" outlineLevel="0" collapsed="false">
      <c r="A2363" s="6" t="str">
        <f aca="false">IF('DATA UNIT'!$B120="","",'DATA UNIT'!$B120)</f>
        <v>KT 8192 ZO</v>
      </c>
      <c r="B2363" s="6" t="str">
        <f aca="false">IF($A2363="","",INDEX(PlanningItemsList,2))</f>
        <v>Service A</v>
      </c>
      <c r="C2363" s="7"/>
      <c r="D2363" s="7"/>
    </row>
    <row r="2364" customFormat="false" ht="15" hidden="false" customHeight="false" outlineLevel="0" collapsed="false">
      <c r="A2364" s="6" t="str">
        <f aca="false">IF('DATA UNIT'!$B120="","",'DATA UNIT'!$B120)</f>
        <v>KT 8192 ZO</v>
      </c>
      <c r="B2364" s="6" t="str">
        <f aca="false">IF($A2364="","",INDEX(PlanningItemsList,3))</f>
        <v>Service B</v>
      </c>
      <c r="C2364" s="7"/>
      <c r="D2364" s="7"/>
    </row>
    <row r="2365" customFormat="false" ht="15" hidden="false" customHeight="false" outlineLevel="0" collapsed="false">
      <c r="A2365" s="6" t="str">
        <f aca="false">IF('DATA UNIT'!$B120="","",'DATA UNIT'!$B120)</f>
        <v>KT 8192 ZO</v>
      </c>
      <c r="B2365" s="6" t="str">
        <f aca="false">IF($A2365="","",INDEX(PlanningItemsList,4))</f>
        <v>Brake Pad</v>
      </c>
      <c r="C2365" s="7"/>
      <c r="D2365" s="7"/>
    </row>
    <row r="2366" customFormat="false" ht="15" hidden="false" customHeight="false" outlineLevel="0" collapsed="false">
      <c r="A2366" s="6" t="str">
        <f aca="false">IF('DATA UNIT'!$B120="","",'DATA UNIT'!$B120)</f>
        <v>KT 8192 ZO</v>
      </c>
      <c r="B2366" s="6" t="str">
        <f aca="false">IF($A2366="","",INDEX(PlanningItemsList,5))</f>
        <v>Brake Shoe</v>
      </c>
      <c r="C2366" s="7"/>
      <c r="D2366" s="7"/>
    </row>
    <row r="2367" customFormat="false" ht="15" hidden="false" customHeight="false" outlineLevel="0" collapsed="false">
      <c r="A2367" s="6" t="str">
        <f aca="false">IF('DATA UNIT'!$B120="","",'DATA UNIT'!$B120)</f>
        <v>KT 8192 ZO</v>
      </c>
      <c r="B2367" s="6" t="str">
        <f aca="false">IF($A2367="","",INDEX(PlanningItemsList,6))</f>
        <v>Accu</v>
      </c>
      <c r="C2367" s="7"/>
      <c r="D2367" s="7"/>
    </row>
    <row r="2368" customFormat="false" ht="15" hidden="false" customHeight="false" outlineLevel="0" collapsed="false">
      <c r="A2368" s="6" t="str">
        <f aca="false">IF('DATA UNIT'!$B120="","",'DATA UNIT'!$B120)</f>
        <v>KT 8192 ZO</v>
      </c>
      <c r="B2368" s="6" t="str">
        <f aca="false">IF($A2368="","",INDEX(PlanningItemsList,7))</f>
        <v>Kampas Kopling Set</v>
      </c>
      <c r="C2368" s="7"/>
      <c r="D2368" s="7"/>
    </row>
    <row r="2369" customFormat="false" ht="15" hidden="false" customHeight="false" outlineLevel="0" collapsed="false">
      <c r="A2369" s="6" t="str">
        <f aca="false">IF('DATA UNIT'!$B120="","",'DATA UNIT'!$B120)</f>
        <v>KT 8192 ZO</v>
      </c>
      <c r="B2369" s="6" t="str">
        <f aca="false">IF($A2369="","",INDEX(PlanningItemsList,8))</f>
        <v>Wiper Blade</v>
      </c>
      <c r="C2369" s="7"/>
      <c r="D2369" s="7"/>
    </row>
    <row r="2370" customFormat="false" ht="15" hidden="false" customHeight="false" outlineLevel="0" collapsed="false">
      <c r="A2370" s="6" t="str">
        <f aca="false">IF('DATA UNIT'!$B120="","",'DATA UNIT'!$B120)</f>
        <v>KT 8192 ZO</v>
      </c>
      <c r="B2370" s="6" t="str">
        <f aca="false">IF($A2370="","",INDEX(PlanningItemsList,9))</f>
        <v>Ban Depan</v>
      </c>
      <c r="C2370" s="7"/>
      <c r="D2370" s="7"/>
    </row>
    <row r="2371" customFormat="false" ht="15" hidden="false" customHeight="false" outlineLevel="0" collapsed="false">
      <c r="A2371" s="6" t="str">
        <f aca="false">IF('DATA UNIT'!$B120="","",'DATA UNIT'!$B120)</f>
        <v>KT 8192 ZO</v>
      </c>
      <c r="B2371" s="6" t="str">
        <f aca="false">IF($A2371="","",INDEX(PlanningItemsList,10))</f>
        <v>Ban Belakang</v>
      </c>
      <c r="C2371" s="7"/>
      <c r="D2371" s="7"/>
    </row>
    <row r="2372" customFormat="false" ht="15" hidden="false" customHeight="false" outlineLevel="0" collapsed="false">
      <c r="A2372" s="6" t="str">
        <f aca="false">IF('DATA UNIT'!$B120="","",'DATA UNIT'!$B120)</f>
        <v>KT 8192 ZO</v>
      </c>
      <c r="B2372" s="6" t="str">
        <f aca="false">IF($A2372="","",INDEX(PlanningItemsList,11))</f>
        <v>Ban Serep</v>
      </c>
      <c r="C2372" s="7"/>
      <c r="D2372" s="7"/>
    </row>
    <row r="2373" customFormat="false" ht="15" hidden="false" customHeight="false" outlineLevel="0" collapsed="false">
      <c r="A2373" s="6" t="str">
        <f aca="false">IF('DATA UNIT'!$B120="","",'DATA UNIT'!$B120)</f>
        <v>KT 8192 ZO</v>
      </c>
      <c r="B2373" s="6" t="str">
        <f aca="false">IF($A2373="","",INDEX(PlanningItemsList,12))</f>
        <v>Greasing</v>
      </c>
      <c r="C2373" s="7"/>
      <c r="D2373" s="7"/>
    </row>
    <row r="2374" customFormat="false" ht="15" hidden="false" customHeight="false" outlineLevel="0" collapsed="false">
      <c r="A2374" s="6" t="str">
        <f aca="false">IF('DATA UNIT'!$B120="","",'DATA UNIT'!$B120)</f>
        <v>KT 8192 ZO</v>
      </c>
      <c r="B2374" s="6" t="str">
        <f aca="false">IF($A2374="","",INDEX(PlanningItemsList,13))</f>
        <v>V-Belt</v>
      </c>
      <c r="C2374" s="7"/>
      <c r="D2374" s="7"/>
    </row>
    <row r="2375" customFormat="false" ht="15" hidden="false" customHeight="false" outlineLevel="0" collapsed="false">
      <c r="A2375" s="6" t="str">
        <f aca="false">IF('DATA UNIT'!$B120="","",'DATA UNIT'!$B120)</f>
        <v>KT 8192 ZO</v>
      </c>
      <c r="B2375" s="6" t="str">
        <f aca="false">IF($A2375="","",INDEX(PlanningItemsList,14))</f>
        <v>Sarung Jok</v>
      </c>
      <c r="C2375" s="7"/>
      <c r="D2375" s="7"/>
    </row>
    <row r="2376" customFormat="false" ht="15" hidden="false" customHeight="false" outlineLevel="0" collapsed="false">
      <c r="A2376" s="6" t="str">
        <f aca="false">IF('DATA UNIT'!$B120="","",'DATA UNIT'!$B120)</f>
        <v>KT 8192 ZO</v>
      </c>
      <c r="B2376" s="6" t="str">
        <f aca="false">IF($A2376="","",INDEX(PlanningItemsList,15))</f>
        <v>Karpet Karet</v>
      </c>
      <c r="C2376" s="7"/>
      <c r="D2376" s="7"/>
    </row>
    <row r="2377" customFormat="false" ht="15" hidden="false" customHeight="false" outlineLevel="0" collapsed="false">
      <c r="A2377" s="6" t="str">
        <f aca="false">IF('DATA UNIT'!$B120="","",'DATA UNIT'!$B120)</f>
        <v>KT 8192 ZO</v>
      </c>
      <c r="B2377" s="6" t="str">
        <f aca="false">IF($A2377="","",INDEX(PlanningItemsList,16))</f>
        <v>Karpet Dasar</v>
      </c>
      <c r="C2377" s="7"/>
      <c r="D2377" s="7"/>
    </row>
    <row r="2378" customFormat="false" ht="15" hidden="false" customHeight="false" outlineLevel="0" collapsed="false">
      <c r="A2378" s="6" t="str">
        <f aca="false">IF('DATA UNIT'!$B120="","",'DATA UNIT'!$B120)</f>
        <v>KT 8192 ZO</v>
      </c>
      <c r="B2378" s="6" t="str">
        <f aca="false">IF($A2378="","",INDEX(PlanningItemsList,17))</f>
        <v>Flushing Radiator</v>
      </c>
      <c r="C2378" s="7"/>
      <c r="D2378" s="7"/>
    </row>
    <row r="2379" customFormat="false" ht="15" hidden="false" customHeight="false" outlineLevel="0" collapsed="false">
      <c r="A2379" s="6" t="str">
        <f aca="false">IF('DATA UNIT'!$B120="","",'DATA UNIT'!$B120)</f>
        <v>KT 8192 ZO</v>
      </c>
      <c r="B2379" s="6" t="str">
        <f aca="false">IF($A2379="","",INDEX(PlanningItemsList,18))</f>
        <v>Flushing Steering</v>
      </c>
      <c r="C2379" s="7"/>
      <c r="D2379" s="7"/>
    </row>
    <row r="2380" customFormat="false" ht="15" hidden="false" customHeight="false" outlineLevel="0" collapsed="false">
      <c r="A2380" s="6" t="str">
        <f aca="false">IF('DATA UNIT'!$B120="","",'DATA UNIT'!$B120)</f>
        <v>KT 8192 ZO</v>
      </c>
      <c r="B2380" s="6" t="str">
        <f aca="false">IF($A2380="","",INDEX(PlanningItemsList,19))</f>
        <v>Flushing Injector</v>
      </c>
      <c r="C2380" s="7"/>
      <c r="D2380" s="7"/>
    </row>
    <row r="2381" customFormat="false" ht="15" hidden="false" customHeight="false" outlineLevel="0" collapsed="false">
      <c r="A2381" s="6" t="str">
        <f aca="false">IF('DATA UNIT'!$B120="","",'DATA UNIT'!$B120)</f>
        <v>KT 8192 ZO</v>
      </c>
      <c r="B2381" s="6" t="str">
        <f aca="false">IF($A2381="","",INDEX(PlanningItemsList,20))</f>
        <v>Flushing Rem</v>
      </c>
      <c r="C2381" s="7"/>
      <c r="D2381" s="7"/>
    </row>
    <row r="2382" customFormat="false" ht="15" hidden="false" customHeight="false" outlineLevel="0" collapsed="false">
      <c r="A2382" s="6" t="str">
        <f aca="false">IF('DATA UNIT'!$B121="","",'DATA UNIT'!$B121)</f>
        <v>KT 8994 YS</v>
      </c>
      <c r="B2382" s="6" t="str">
        <f aca="false">IF($A2382="","",INDEX(PlanningItemsList,1))</f>
        <v>PM Check / Reguler Services</v>
      </c>
      <c r="C2382" s="7"/>
      <c r="D2382" s="7"/>
    </row>
    <row r="2383" customFormat="false" ht="15" hidden="false" customHeight="false" outlineLevel="0" collapsed="false">
      <c r="A2383" s="6" t="str">
        <f aca="false">IF('DATA UNIT'!$B121="","",'DATA UNIT'!$B121)</f>
        <v>KT 8994 YS</v>
      </c>
      <c r="B2383" s="6" t="str">
        <f aca="false">IF($A2383="","",INDEX(PlanningItemsList,2))</f>
        <v>Service A</v>
      </c>
      <c r="C2383" s="7"/>
      <c r="D2383" s="7"/>
    </row>
    <row r="2384" customFormat="false" ht="15" hidden="false" customHeight="false" outlineLevel="0" collapsed="false">
      <c r="A2384" s="6" t="str">
        <f aca="false">IF('DATA UNIT'!$B121="","",'DATA UNIT'!$B121)</f>
        <v>KT 8994 YS</v>
      </c>
      <c r="B2384" s="6" t="str">
        <f aca="false">IF($A2384="","",INDEX(PlanningItemsList,3))</f>
        <v>Service B</v>
      </c>
      <c r="C2384" s="7"/>
      <c r="D2384" s="7"/>
    </row>
    <row r="2385" customFormat="false" ht="15" hidden="false" customHeight="false" outlineLevel="0" collapsed="false">
      <c r="A2385" s="6" t="str">
        <f aca="false">IF('DATA UNIT'!$B121="","",'DATA UNIT'!$B121)</f>
        <v>KT 8994 YS</v>
      </c>
      <c r="B2385" s="6" t="str">
        <f aca="false">IF($A2385="","",INDEX(PlanningItemsList,4))</f>
        <v>Brake Pad</v>
      </c>
      <c r="C2385" s="7"/>
      <c r="D2385" s="7"/>
    </row>
    <row r="2386" customFormat="false" ht="15" hidden="false" customHeight="false" outlineLevel="0" collapsed="false">
      <c r="A2386" s="6" t="str">
        <f aca="false">IF('DATA UNIT'!$B121="","",'DATA UNIT'!$B121)</f>
        <v>KT 8994 YS</v>
      </c>
      <c r="B2386" s="6" t="str">
        <f aca="false">IF($A2386="","",INDEX(PlanningItemsList,5))</f>
        <v>Brake Shoe</v>
      </c>
      <c r="C2386" s="7"/>
      <c r="D2386" s="7"/>
    </row>
    <row r="2387" customFormat="false" ht="15" hidden="false" customHeight="false" outlineLevel="0" collapsed="false">
      <c r="A2387" s="6" t="str">
        <f aca="false">IF('DATA UNIT'!$B121="","",'DATA UNIT'!$B121)</f>
        <v>KT 8994 YS</v>
      </c>
      <c r="B2387" s="6" t="str">
        <f aca="false">IF($A2387="","",INDEX(PlanningItemsList,6))</f>
        <v>Accu</v>
      </c>
      <c r="C2387" s="7"/>
      <c r="D2387" s="7"/>
    </row>
    <row r="2388" customFormat="false" ht="15" hidden="false" customHeight="false" outlineLevel="0" collapsed="false">
      <c r="A2388" s="6" t="str">
        <f aca="false">IF('DATA UNIT'!$B121="","",'DATA UNIT'!$B121)</f>
        <v>KT 8994 YS</v>
      </c>
      <c r="B2388" s="6" t="str">
        <f aca="false">IF($A2388="","",INDEX(PlanningItemsList,7))</f>
        <v>Kampas Kopling Set</v>
      </c>
      <c r="C2388" s="7"/>
      <c r="D2388" s="7"/>
    </row>
    <row r="2389" customFormat="false" ht="15" hidden="false" customHeight="false" outlineLevel="0" collapsed="false">
      <c r="A2389" s="6" t="str">
        <f aca="false">IF('DATA UNIT'!$B121="","",'DATA UNIT'!$B121)</f>
        <v>KT 8994 YS</v>
      </c>
      <c r="B2389" s="6" t="str">
        <f aca="false">IF($A2389="","",INDEX(PlanningItemsList,8))</f>
        <v>Wiper Blade</v>
      </c>
      <c r="C2389" s="7"/>
      <c r="D2389" s="7"/>
    </row>
    <row r="2390" customFormat="false" ht="15" hidden="false" customHeight="false" outlineLevel="0" collapsed="false">
      <c r="A2390" s="6" t="str">
        <f aca="false">IF('DATA UNIT'!$B121="","",'DATA UNIT'!$B121)</f>
        <v>KT 8994 YS</v>
      </c>
      <c r="B2390" s="6" t="str">
        <f aca="false">IF($A2390="","",INDEX(PlanningItemsList,9))</f>
        <v>Ban Depan</v>
      </c>
      <c r="C2390" s="7"/>
      <c r="D2390" s="7"/>
    </row>
    <row r="2391" customFormat="false" ht="15" hidden="false" customHeight="false" outlineLevel="0" collapsed="false">
      <c r="A2391" s="6" t="str">
        <f aca="false">IF('DATA UNIT'!$B121="","",'DATA UNIT'!$B121)</f>
        <v>KT 8994 YS</v>
      </c>
      <c r="B2391" s="6" t="str">
        <f aca="false">IF($A2391="","",INDEX(PlanningItemsList,10))</f>
        <v>Ban Belakang</v>
      </c>
      <c r="C2391" s="7"/>
      <c r="D2391" s="7"/>
    </row>
    <row r="2392" customFormat="false" ht="15" hidden="false" customHeight="false" outlineLevel="0" collapsed="false">
      <c r="A2392" s="6" t="str">
        <f aca="false">IF('DATA UNIT'!$B121="","",'DATA UNIT'!$B121)</f>
        <v>KT 8994 YS</v>
      </c>
      <c r="B2392" s="6" t="str">
        <f aca="false">IF($A2392="","",INDEX(PlanningItemsList,11))</f>
        <v>Ban Serep</v>
      </c>
      <c r="C2392" s="7"/>
      <c r="D2392" s="7"/>
    </row>
    <row r="2393" customFormat="false" ht="15" hidden="false" customHeight="false" outlineLevel="0" collapsed="false">
      <c r="A2393" s="6" t="str">
        <f aca="false">IF('DATA UNIT'!$B121="","",'DATA UNIT'!$B121)</f>
        <v>KT 8994 YS</v>
      </c>
      <c r="B2393" s="6" t="str">
        <f aca="false">IF($A2393="","",INDEX(PlanningItemsList,12))</f>
        <v>Greasing</v>
      </c>
      <c r="C2393" s="7"/>
      <c r="D2393" s="7"/>
    </row>
    <row r="2394" customFormat="false" ht="15" hidden="false" customHeight="false" outlineLevel="0" collapsed="false">
      <c r="A2394" s="6" t="str">
        <f aca="false">IF('DATA UNIT'!$B121="","",'DATA UNIT'!$B121)</f>
        <v>KT 8994 YS</v>
      </c>
      <c r="B2394" s="6" t="str">
        <f aca="false">IF($A2394="","",INDEX(PlanningItemsList,13))</f>
        <v>V-Belt</v>
      </c>
      <c r="C2394" s="7"/>
      <c r="D2394" s="7"/>
    </row>
    <row r="2395" customFormat="false" ht="15" hidden="false" customHeight="false" outlineLevel="0" collapsed="false">
      <c r="A2395" s="6" t="str">
        <f aca="false">IF('DATA UNIT'!$B121="","",'DATA UNIT'!$B121)</f>
        <v>KT 8994 YS</v>
      </c>
      <c r="B2395" s="6" t="str">
        <f aca="false">IF($A2395="","",INDEX(PlanningItemsList,14))</f>
        <v>Sarung Jok</v>
      </c>
      <c r="C2395" s="7"/>
      <c r="D2395" s="7"/>
    </row>
    <row r="2396" customFormat="false" ht="15" hidden="false" customHeight="false" outlineLevel="0" collapsed="false">
      <c r="A2396" s="6" t="str">
        <f aca="false">IF('DATA UNIT'!$B121="","",'DATA UNIT'!$B121)</f>
        <v>KT 8994 YS</v>
      </c>
      <c r="B2396" s="6" t="str">
        <f aca="false">IF($A2396="","",INDEX(PlanningItemsList,15))</f>
        <v>Karpet Karet</v>
      </c>
      <c r="C2396" s="7"/>
      <c r="D2396" s="7"/>
    </row>
    <row r="2397" customFormat="false" ht="15" hidden="false" customHeight="false" outlineLevel="0" collapsed="false">
      <c r="A2397" s="6" t="str">
        <f aca="false">IF('DATA UNIT'!$B121="","",'DATA UNIT'!$B121)</f>
        <v>KT 8994 YS</v>
      </c>
      <c r="B2397" s="6" t="str">
        <f aca="false">IF($A2397="","",INDEX(PlanningItemsList,16))</f>
        <v>Karpet Dasar</v>
      </c>
      <c r="C2397" s="7"/>
      <c r="D2397" s="7"/>
    </row>
    <row r="2398" customFormat="false" ht="15" hidden="false" customHeight="false" outlineLevel="0" collapsed="false">
      <c r="A2398" s="6" t="str">
        <f aca="false">IF('DATA UNIT'!$B121="","",'DATA UNIT'!$B121)</f>
        <v>KT 8994 YS</v>
      </c>
      <c r="B2398" s="6" t="str">
        <f aca="false">IF($A2398="","",INDEX(PlanningItemsList,17))</f>
        <v>Flushing Radiator</v>
      </c>
      <c r="C2398" s="7"/>
      <c r="D2398" s="7"/>
    </row>
    <row r="2399" customFormat="false" ht="15" hidden="false" customHeight="false" outlineLevel="0" collapsed="false">
      <c r="A2399" s="6" t="str">
        <f aca="false">IF('DATA UNIT'!$B121="","",'DATA UNIT'!$B121)</f>
        <v>KT 8994 YS</v>
      </c>
      <c r="B2399" s="6" t="str">
        <f aca="false">IF($A2399="","",INDEX(PlanningItemsList,18))</f>
        <v>Flushing Steering</v>
      </c>
      <c r="C2399" s="7"/>
      <c r="D2399" s="7"/>
    </row>
    <row r="2400" customFormat="false" ht="15" hidden="false" customHeight="false" outlineLevel="0" collapsed="false">
      <c r="A2400" s="6" t="str">
        <f aca="false">IF('DATA UNIT'!$B121="","",'DATA UNIT'!$B121)</f>
        <v>KT 8994 YS</v>
      </c>
      <c r="B2400" s="6" t="str">
        <f aca="false">IF($A2400="","",INDEX(PlanningItemsList,19))</f>
        <v>Flushing Injector</v>
      </c>
      <c r="C2400" s="7"/>
      <c r="D2400" s="7"/>
    </row>
    <row r="2401" customFormat="false" ht="15" hidden="false" customHeight="false" outlineLevel="0" collapsed="false">
      <c r="A2401" s="6" t="str">
        <f aca="false">IF('DATA UNIT'!$B121="","",'DATA UNIT'!$B121)</f>
        <v>KT 8994 YS</v>
      </c>
      <c r="B2401" s="6" t="str">
        <f aca="false">IF($A2401="","",INDEX(PlanningItemsList,20))</f>
        <v>Flushing Rem</v>
      </c>
      <c r="C2401" s="7"/>
      <c r="D2401" s="7"/>
    </row>
    <row r="2402" customFormat="false" ht="15" hidden="false" customHeight="false" outlineLevel="0" collapsed="false">
      <c r="A2402" s="6" t="str">
        <f aca="false">IF('DATA UNIT'!$B122="","",'DATA UNIT'!$B122)</f>
        <v>KT 8136 YW</v>
      </c>
      <c r="B2402" s="6" t="str">
        <f aca="false">IF($A2402="","",INDEX(PlanningItemsList,1))</f>
        <v>PM Check / Reguler Services</v>
      </c>
      <c r="C2402" s="7"/>
      <c r="D2402" s="7"/>
    </row>
    <row r="2403" customFormat="false" ht="15" hidden="false" customHeight="false" outlineLevel="0" collapsed="false">
      <c r="A2403" s="6" t="str">
        <f aca="false">IF('DATA UNIT'!$B122="","",'DATA UNIT'!$B122)</f>
        <v>KT 8136 YW</v>
      </c>
      <c r="B2403" s="6" t="str">
        <f aca="false">IF($A2403="","",INDEX(PlanningItemsList,2))</f>
        <v>Service A</v>
      </c>
      <c r="C2403" s="7"/>
      <c r="D2403" s="7"/>
    </row>
    <row r="2404" customFormat="false" ht="15" hidden="false" customHeight="false" outlineLevel="0" collapsed="false">
      <c r="A2404" s="6" t="str">
        <f aca="false">IF('DATA UNIT'!$B122="","",'DATA UNIT'!$B122)</f>
        <v>KT 8136 YW</v>
      </c>
      <c r="B2404" s="6" t="str">
        <f aca="false">IF($A2404="","",INDEX(PlanningItemsList,3))</f>
        <v>Service B</v>
      </c>
      <c r="C2404" s="7"/>
      <c r="D2404" s="7"/>
    </row>
    <row r="2405" customFormat="false" ht="15" hidden="false" customHeight="false" outlineLevel="0" collapsed="false">
      <c r="A2405" s="6" t="str">
        <f aca="false">IF('DATA UNIT'!$B122="","",'DATA UNIT'!$B122)</f>
        <v>KT 8136 YW</v>
      </c>
      <c r="B2405" s="6" t="str">
        <f aca="false">IF($A2405="","",INDEX(PlanningItemsList,4))</f>
        <v>Brake Pad</v>
      </c>
      <c r="C2405" s="7"/>
      <c r="D2405" s="7"/>
    </row>
    <row r="2406" customFormat="false" ht="15" hidden="false" customHeight="false" outlineLevel="0" collapsed="false">
      <c r="A2406" s="6" t="str">
        <f aca="false">IF('DATA UNIT'!$B122="","",'DATA UNIT'!$B122)</f>
        <v>KT 8136 YW</v>
      </c>
      <c r="B2406" s="6" t="str">
        <f aca="false">IF($A2406="","",INDEX(PlanningItemsList,5))</f>
        <v>Brake Shoe</v>
      </c>
      <c r="C2406" s="7"/>
      <c r="D2406" s="7"/>
    </row>
    <row r="2407" customFormat="false" ht="15" hidden="false" customHeight="false" outlineLevel="0" collapsed="false">
      <c r="A2407" s="6" t="str">
        <f aca="false">IF('DATA UNIT'!$B122="","",'DATA UNIT'!$B122)</f>
        <v>KT 8136 YW</v>
      </c>
      <c r="B2407" s="6" t="str">
        <f aca="false">IF($A2407="","",INDEX(PlanningItemsList,6))</f>
        <v>Accu</v>
      </c>
      <c r="C2407" s="7"/>
      <c r="D2407" s="7"/>
    </row>
    <row r="2408" customFormat="false" ht="15" hidden="false" customHeight="false" outlineLevel="0" collapsed="false">
      <c r="A2408" s="6" t="str">
        <f aca="false">IF('DATA UNIT'!$B122="","",'DATA UNIT'!$B122)</f>
        <v>KT 8136 YW</v>
      </c>
      <c r="B2408" s="6" t="str">
        <f aca="false">IF($A2408="","",INDEX(PlanningItemsList,7))</f>
        <v>Kampas Kopling Set</v>
      </c>
      <c r="C2408" s="7"/>
      <c r="D2408" s="7"/>
    </row>
    <row r="2409" customFormat="false" ht="15" hidden="false" customHeight="false" outlineLevel="0" collapsed="false">
      <c r="A2409" s="6" t="str">
        <f aca="false">IF('DATA UNIT'!$B122="","",'DATA UNIT'!$B122)</f>
        <v>KT 8136 YW</v>
      </c>
      <c r="B2409" s="6" t="str">
        <f aca="false">IF($A2409="","",INDEX(PlanningItemsList,8))</f>
        <v>Wiper Blade</v>
      </c>
      <c r="C2409" s="7"/>
      <c r="D2409" s="7"/>
    </row>
    <row r="2410" customFormat="false" ht="15" hidden="false" customHeight="false" outlineLevel="0" collapsed="false">
      <c r="A2410" s="6" t="str">
        <f aca="false">IF('DATA UNIT'!$B122="","",'DATA UNIT'!$B122)</f>
        <v>KT 8136 YW</v>
      </c>
      <c r="B2410" s="6" t="str">
        <f aca="false">IF($A2410="","",INDEX(PlanningItemsList,9))</f>
        <v>Ban Depan</v>
      </c>
      <c r="C2410" s="7"/>
      <c r="D2410" s="7"/>
    </row>
    <row r="2411" customFormat="false" ht="15" hidden="false" customHeight="false" outlineLevel="0" collapsed="false">
      <c r="A2411" s="6" t="str">
        <f aca="false">IF('DATA UNIT'!$B122="","",'DATA UNIT'!$B122)</f>
        <v>KT 8136 YW</v>
      </c>
      <c r="B2411" s="6" t="str">
        <f aca="false">IF($A2411="","",INDEX(PlanningItemsList,10))</f>
        <v>Ban Belakang</v>
      </c>
      <c r="C2411" s="7"/>
      <c r="D2411" s="7"/>
    </row>
    <row r="2412" customFormat="false" ht="15" hidden="false" customHeight="false" outlineLevel="0" collapsed="false">
      <c r="A2412" s="6" t="str">
        <f aca="false">IF('DATA UNIT'!$B122="","",'DATA UNIT'!$B122)</f>
        <v>KT 8136 YW</v>
      </c>
      <c r="B2412" s="6" t="str">
        <f aca="false">IF($A2412="","",INDEX(PlanningItemsList,11))</f>
        <v>Ban Serep</v>
      </c>
      <c r="C2412" s="7"/>
      <c r="D2412" s="7"/>
    </row>
    <row r="2413" customFormat="false" ht="15" hidden="false" customHeight="false" outlineLevel="0" collapsed="false">
      <c r="A2413" s="6" t="str">
        <f aca="false">IF('DATA UNIT'!$B122="","",'DATA UNIT'!$B122)</f>
        <v>KT 8136 YW</v>
      </c>
      <c r="B2413" s="6" t="str">
        <f aca="false">IF($A2413="","",INDEX(PlanningItemsList,12))</f>
        <v>Greasing</v>
      </c>
      <c r="C2413" s="7"/>
      <c r="D2413" s="7"/>
    </row>
    <row r="2414" customFormat="false" ht="15" hidden="false" customHeight="false" outlineLevel="0" collapsed="false">
      <c r="A2414" s="6" t="str">
        <f aca="false">IF('DATA UNIT'!$B122="","",'DATA UNIT'!$B122)</f>
        <v>KT 8136 YW</v>
      </c>
      <c r="B2414" s="6" t="str">
        <f aca="false">IF($A2414="","",INDEX(PlanningItemsList,13))</f>
        <v>V-Belt</v>
      </c>
      <c r="C2414" s="7"/>
      <c r="D2414" s="7"/>
    </row>
    <row r="2415" customFormat="false" ht="15" hidden="false" customHeight="false" outlineLevel="0" collapsed="false">
      <c r="A2415" s="6" t="str">
        <f aca="false">IF('DATA UNIT'!$B122="","",'DATA UNIT'!$B122)</f>
        <v>KT 8136 YW</v>
      </c>
      <c r="B2415" s="6" t="str">
        <f aca="false">IF($A2415="","",INDEX(PlanningItemsList,14))</f>
        <v>Sarung Jok</v>
      </c>
      <c r="C2415" s="7"/>
      <c r="D2415" s="7"/>
    </row>
    <row r="2416" customFormat="false" ht="15" hidden="false" customHeight="false" outlineLevel="0" collapsed="false">
      <c r="A2416" s="6" t="str">
        <f aca="false">IF('DATA UNIT'!$B122="","",'DATA UNIT'!$B122)</f>
        <v>KT 8136 YW</v>
      </c>
      <c r="B2416" s="6" t="str">
        <f aca="false">IF($A2416="","",INDEX(PlanningItemsList,15))</f>
        <v>Karpet Karet</v>
      </c>
      <c r="C2416" s="7"/>
      <c r="D2416" s="7"/>
    </row>
    <row r="2417" customFormat="false" ht="15" hidden="false" customHeight="false" outlineLevel="0" collapsed="false">
      <c r="A2417" s="6" t="str">
        <f aca="false">IF('DATA UNIT'!$B122="","",'DATA UNIT'!$B122)</f>
        <v>KT 8136 YW</v>
      </c>
      <c r="B2417" s="6" t="str">
        <f aca="false">IF($A2417="","",INDEX(PlanningItemsList,16))</f>
        <v>Karpet Dasar</v>
      </c>
      <c r="C2417" s="7"/>
      <c r="D2417" s="7"/>
    </row>
    <row r="2418" customFormat="false" ht="15" hidden="false" customHeight="false" outlineLevel="0" collapsed="false">
      <c r="A2418" s="6" t="str">
        <f aca="false">IF('DATA UNIT'!$B122="","",'DATA UNIT'!$B122)</f>
        <v>KT 8136 YW</v>
      </c>
      <c r="B2418" s="6" t="str">
        <f aca="false">IF($A2418="","",INDEX(PlanningItemsList,17))</f>
        <v>Flushing Radiator</v>
      </c>
      <c r="C2418" s="7"/>
      <c r="D2418" s="7"/>
    </row>
    <row r="2419" customFormat="false" ht="15" hidden="false" customHeight="false" outlineLevel="0" collapsed="false">
      <c r="A2419" s="6" t="str">
        <f aca="false">IF('DATA UNIT'!$B122="","",'DATA UNIT'!$B122)</f>
        <v>KT 8136 YW</v>
      </c>
      <c r="B2419" s="6" t="str">
        <f aca="false">IF($A2419="","",INDEX(PlanningItemsList,18))</f>
        <v>Flushing Steering</v>
      </c>
      <c r="C2419" s="7"/>
      <c r="D2419" s="7"/>
    </row>
    <row r="2420" customFormat="false" ht="15" hidden="false" customHeight="false" outlineLevel="0" collapsed="false">
      <c r="A2420" s="6" t="str">
        <f aca="false">IF('DATA UNIT'!$B122="","",'DATA UNIT'!$B122)</f>
        <v>KT 8136 YW</v>
      </c>
      <c r="B2420" s="6" t="str">
        <f aca="false">IF($A2420="","",INDEX(PlanningItemsList,19))</f>
        <v>Flushing Injector</v>
      </c>
      <c r="C2420" s="7"/>
      <c r="D2420" s="7"/>
    </row>
    <row r="2421" customFormat="false" ht="15" hidden="false" customHeight="false" outlineLevel="0" collapsed="false">
      <c r="A2421" s="6" t="str">
        <f aca="false">IF('DATA UNIT'!$B122="","",'DATA UNIT'!$B122)</f>
        <v>KT 8136 YW</v>
      </c>
      <c r="B2421" s="6" t="str">
        <f aca="false">IF($A2421="","",INDEX(PlanningItemsList,20))</f>
        <v>Flushing Rem</v>
      </c>
      <c r="C2421" s="7"/>
      <c r="D2421" s="7"/>
    </row>
    <row r="2422" customFormat="false" ht="15" hidden="false" customHeight="false" outlineLevel="0" collapsed="false">
      <c r="A2422" s="6" t="str">
        <f aca="false">IF('DATA UNIT'!$B123="","",'DATA UNIT'!$B123)</f>
        <v>KT 1862 YJ</v>
      </c>
      <c r="B2422" s="6" t="str">
        <f aca="false">IF($A2422="","",INDEX(PlanningItemsList,1))</f>
        <v>PM Check / Reguler Services</v>
      </c>
      <c r="C2422" s="7"/>
      <c r="D2422" s="7"/>
    </row>
    <row r="2423" customFormat="false" ht="15" hidden="false" customHeight="false" outlineLevel="0" collapsed="false">
      <c r="A2423" s="6" t="str">
        <f aca="false">IF('DATA UNIT'!$B123="","",'DATA UNIT'!$B123)</f>
        <v>KT 1862 YJ</v>
      </c>
      <c r="B2423" s="6" t="str">
        <f aca="false">IF($A2423="","",INDEX(PlanningItemsList,2))</f>
        <v>Service A</v>
      </c>
      <c r="C2423" s="7"/>
      <c r="D2423" s="7"/>
    </row>
    <row r="2424" customFormat="false" ht="15" hidden="false" customHeight="false" outlineLevel="0" collapsed="false">
      <c r="A2424" s="6" t="str">
        <f aca="false">IF('DATA UNIT'!$B123="","",'DATA UNIT'!$B123)</f>
        <v>KT 1862 YJ</v>
      </c>
      <c r="B2424" s="6" t="str">
        <f aca="false">IF($A2424="","",INDEX(PlanningItemsList,3))</f>
        <v>Service B</v>
      </c>
      <c r="C2424" s="7"/>
      <c r="D2424" s="7"/>
    </row>
    <row r="2425" customFormat="false" ht="15" hidden="false" customHeight="false" outlineLevel="0" collapsed="false">
      <c r="A2425" s="6" t="str">
        <f aca="false">IF('DATA UNIT'!$B123="","",'DATA UNIT'!$B123)</f>
        <v>KT 1862 YJ</v>
      </c>
      <c r="B2425" s="6" t="str">
        <f aca="false">IF($A2425="","",INDEX(PlanningItemsList,4))</f>
        <v>Brake Pad</v>
      </c>
      <c r="C2425" s="7"/>
      <c r="D2425" s="7"/>
    </row>
    <row r="2426" customFormat="false" ht="15" hidden="false" customHeight="false" outlineLevel="0" collapsed="false">
      <c r="A2426" s="6" t="str">
        <f aca="false">IF('DATA UNIT'!$B123="","",'DATA UNIT'!$B123)</f>
        <v>KT 1862 YJ</v>
      </c>
      <c r="B2426" s="6" t="str">
        <f aca="false">IF($A2426="","",INDEX(PlanningItemsList,5))</f>
        <v>Brake Shoe</v>
      </c>
      <c r="C2426" s="7"/>
      <c r="D2426" s="7"/>
    </row>
    <row r="2427" customFormat="false" ht="15" hidden="false" customHeight="false" outlineLevel="0" collapsed="false">
      <c r="A2427" s="6" t="str">
        <f aca="false">IF('DATA UNIT'!$B123="","",'DATA UNIT'!$B123)</f>
        <v>KT 1862 YJ</v>
      </c>
      <c r="B2427" s="6" t="str">
        <f aca="false">IF($A2427="","",INDEX(PlanningItemsList,6))</f>
        <v>Accu</v>
      </c>
      <c r="C2427" s="7"/>
      <c r="D2427" s="7"/>
    </row>
    <row r="2428" customFormat="false" ht="15" hidden="false" customHeight="false" outlineLevel="0" collapsed="false">
      <c r="A2428" s="6" t="str">
        <f aca="false">IF('DATA UNIT'!$B123="","",'DATA UNIT'!$B123)</f>
        <v>KT 1862 YJ</v>
      </c>
      <c r="B2428" s="6" t="str">
        <f aca="false">IF($A2428="","",INDEX(PlanningItemsList,7))</f>
        <v>Kampas Kopling Set</v>
      </c>
      <c r="C2428" s="7"/>
      <c r="D2428" s="7"/>
    </row>
    <row r="2429" customFormat="false" ht="15" hidden="false" customHeight="false" outlineLevel="0" collapsed="false">
      <c r="A2429" s="6" t="str">
        <f aca="false">IF('DATA UNIT'!$B123="","",'DATA UNIT'!$B123)</f>
        <v>KT 1862 YJ</v>
      </c>
      <c r="B2429" s="6" t="str">
        <f aca="false">IF($A2429="","",INDEX(PlanningItemsList,8))</f>
        <v>Wiper Blade</v>
      </c>
      <c r="C2429" s="7"/>
      <c r="D2429" s="7"/>
    </row>
    <row r="2430" customFormat="false" ht="15" hidden="false" customHeight="false" outlineLevel="0" collapsed="false">
      <c r="A2430" s="6" t="str">
        <f aca="false">IF('DATA UNIT'!$B123="","",'DATA UNIT'!$B123)</f>
        <v>KT 1862 YJ</v>
      </c>
      <c r="B2430" s="6" t="str">
        <f aca="false">IF($A2430="","",INDEX(PlanningItemsList,9))</f>
        <v>Ban Depan</v>
      </c>
      <c r="C2430" s="7"/>
      <c r="D2430" s="7"/>
    </row>
    <row r="2431" customFormat="false" ht="15" hidden="false" customHeight="false" outlineLevel="0" collapsed="false">
      <c r="A2431" s="6" t="str">
        <f aca="false">IF('DATA UNIT'!$B123="","",'DATA UNIT'!$B123)</f>
        <v>KT 1862 YJ</v>
      </c>
      <c r="B2431" s="6" t="str">
        <f aca="false">IF($A2431="","",INDEX(PlanningItemsList,10))</f>
        <v>Ban Belakang</v>
      </c>
      <c r="C2431" s="7"/>
      <c r="D2431" s="7"/>
    </row>
    <row r="2432" customFormat="false" ht="15" hidden="false" customHeight="false" outlineLevel="0" collapsed="false">
      <c r="A2432" s="6" t="str">
        <f aca="false">IF('DATA UNIT'!$B123="","",'DATA UNIT'!$B123)</f>
        <v>KT 1862 YJ</v>
      </c>
      <c r="B2432" s="6" t="str">
        <f aca="false">IF($A2432="","",INDEX(PlanningItemsList,11))</f>
        <v>Ban Serep</v>
      </c>
      <c r="C2432" s="7"/>
      <c r="D2432" s="7"/>
    </row>
    <row r="2433" customFormat="false" ht="15" hidden="false" customHeight="false" outlineLevel="0" collapsed="false">
      <c r="A2433" s="6" t="str">
        <f aca="false">IF('DATA UNIT'!$B123="","",'DATA UNIT'!$B123)</f>
        <v>KT 1862 YJ</v>
      </c>
      <c r="B2433" s="6" t="str">
        <f aca="false">IF($A2433="","",INDEX(PlanningItemsList,12))</f>
        <v>Greasing</v>
      </c>
      <c r="C2433" s="7"/>
      <c r="D2433" s="7"/>
    </row>
    <row r="2434" customFormat="false" ht="15" hidden="false" customHeight="false" outlineLevel="0" collapsed="false">
      <c r="A2434" s="6" t="str">
        <f aca="false">IF('DATA UNIT'!$B123="","",'DATA UNIT'!$B123)</f>
        <v>KT 1862 YJ</v>
      </c>
      <c r="B2434" s="6" t="str">
        <f aca="false">IF($A2434="","",INDEX(PlanningItemsList,13))</f>
        <v>V-Belt</v>
      </c>
      <c r="C2434" s="7"/>
      <c r="D2434" s="7"/>
    </row>
    <row r="2435" customFormat="false" ht="15" hidden="false" customHeight="false" outlineLevel="0" collapsed="false">
      <c r="A2435" s="6" t="str">
        <f aca="false">IF('DATA UNIT'!$B123="","",'DATA UNIT'!$B123)</f>
        <v>KT 1862 YJ</v>
      </c>
      <c r="B2435" s="6" t="str">
        <f aca="false">IF($A2435="","",INDEX(PlanningItemsList,14))</f>
        <v>Sarung Jok</v>
      </c>
      <c r="C2435" s="7"/>
      <c r="D2435" s="7"/>
    </row>
    <row r="2436" customFormat="false" ht="15" hidden="false" customHeight="false" outlineLevel="0" collapsed="false">
      <c r="A2436" s="6" t="str">
        <f aca="false">IF('DATA UNIT'!$B123="","",'DATA UNIT'!$B123)</f>
        <v>KT 1862 YJ</v>
      </c>
      <c r="B2436" s="6" t="str">
        <f aca="false">IF($A2436="","",INDEX(PlanningItemsList,15))</f>
        <v>Karpet Karet</v>
      </c>
      <c r="C2436" s="7"/>
      <c r="D2436" s="7"/>
    </row>
    <row r="2437" customFormat="false" ht="15" hidden="false" customHeight="false" outlineLevel="0" collapsed="false">
      <c r="A2437" s="6" t="str">
        <f aca="false">IF('DATA UNIT'!$B123="","",'DATA UNIT'!$B123)</f>
        <v>KT 1862 YJ</v>
      </c>
      <c r="B2437" s="6" t="str">
        <f aca="false">IF($A2437="","",INDEX(PlanningItemsList,16))</f>
        <v>Karpet Dasar</v>
      </c>
      <c r="C2437" s="7"/>
      <c r="D2437" s="7"/>
    </row>
    <row r="2438" customFormat="false" ht="15" hidden="false" customHeight="false" outlineLevel="0" collapsed="false">
      <c r="A2438" s="6" t="str">
        <f aca="false">IF('DATA UNIT'!$B123="","",'DATA UNIT'!$B123)</f>
        <v>KT 1862 YJ</v>
      </c>
      <c r="B2438" s="6" t="str">
        <f aca="false">IF($A2438="","",INDEX(PlanningItemsList,17))</f>
        <v>Flushing Radiator</v>
      </c>
      <c r="C2438" s="7"/>
      <c r="D2438" s="7"/>
    </row>
    <row r="2439" customFormat="false" ht="15" hidden="false" customHeight="false" outlineLevel="0" collapsed="false">
      <c r="A2439" s="6" t="str">
        <f aca="false">IF('DATA UNIT'!$B123="","",'DATA UNIT'!$B123)</f>
        <v>KT 1862 YJ</v>
      </c>
      <c r="B2439" s="6" t="str">
        <f aca="false">IF($A2439="","",INDEX(PlanningItemsList,18))</f>
        <v>Flushing Steering</v>
      </c>
      <c r="C2439" s="7"/>
      <c r="D2439" s="7"/>
    </row>
    <row r="2440" customFormat="false" ht="15" hidden="false" customHeight="false" outlineLevel="0" collapsed="false">
      <c r="A2440" s="6" t="str">
        <f aca="false">IF('DATA UNIT'!$B123="","",'DATA UNIT'!$B123)</f>
        <v>KT 1862 YJ</v>
      </c>
      <c r="B2440" s="6" t="str">
        <f aca="false">IF($A2440="","",INDEX(PlanningItemsList,19))</f>
        <v>Flushing Injector</v>
      </c>
      <c r="C2440" s="7"/>
      <c r="D2440" s="7"/>
    </row>
    <row r="2441" customFormat="false" ht="15" hidden="false" customHeight="false" outlineLevel="0" collapsed="false">
      <c r="A2441" s="6" t="str">
        <f aca="false">IF('DATA UNIT'!$B123="","",'DATA UNIT'!$B123)</f>
        <v>KT 1862 YJ</v>
      </c>
      <c r="B2441" s="6" t="str">
        <f aca="false">IF($A2441="","",INDEX(PlanningItemsList,20))</f>
        <v>Flushing Rem</v>
      </c>
      <c r="C2441" s="7"/>
      <c r="D2441" s="7"/>
    </row>
    <row r="2442" customFormat="false" ht="15" hidden="false" customHeight="false" outlineLevel="0" collapsed="false">
      <c r="A2442" s="6" t="str">
        <f aca="false">IF('DATA UNIT'!$B124="","",'DATA UNIT'!$B124)</f>
        <v>KT 8176 YS</v>
      </c>
      <c r="B2442" s="6" t="str">
        <f aca="false">IF($A2442="","",INDEX(PlanningItemsList,1))</f>
        <v>PM Check / Reguler Services</v>
      </c>
      <c r="C2442" s="7"/>
      <c r="D2442" s="7"/>
    </row>
    <row r="2443" customFormat="false" ht="15" hidden="false" customHeight="false" outlineLevel="0" collapsed="false">
      <c r="A2443" s="6" t="str">
        <f aca="false">IF('DATA UNIT'!$B124="","",'DATA UNIT'!$B124)</f>
        <v>KT 8176 YS</v>
      </c>
      <c r="B2443" s="6" t="str">
        <f aca="false">IF($A2443="","",INDEX(PlanningItemsList,2))</f>
        <v>Service A</v>
      </c>
      <c r="C2443" s="7"/>
      <c r="D2443" s="7"/>
    </row>
    <row r="2444" customFormat="false" ht="15" hidden="false" customHeight="false" outlineLevel="0" collapsed="false">
      <c r="A2444" s="6" t="str">
        <f aca="false">IF('DATA UNIT'!$B124="","",'DATA UNIT'!$B124)</f>
        <v>KT 8176 YS</v>
      </c>
      <c r="B2444" s="6" t="str">
        <f aca="false">IF($A2444="","",INDEX(PlanningItemsList,3))</f>
        <v>Service B</v>
      </c>
      <c r="C2444" s="7"/>
      <c r="D2444" s="7"/>
    </row>
    <row r="2445" customFormat="false" ht="15" hidden="false" customHeight="false" outlineLevel="0" collapsed="false">
      <c r="A2445" s="6" t="str">
        <f aca="false">IF('DATA UNIT'!$B124="","",'DATA UNIT'!$B124)</f>
        <v>KT 8176 YS</v>
      </c>
      <c r="B2445" s="6" t="str">
        <f aca="false">IF($A2445="","",INDEX(PlanningItemsList,4))</f>
        <v>Brake Pad</v>
      </c>
      <c r="C2445" s="7"/>
      <c r="D2445" s="7"/>
    </row>
    <row r="2446" customFormat="false" ht="15" hidden="false" customHeight="false" outlineLevel="0" collapsed="false">
      <c r="A2446" s="6" t="str">
        <f aca="false">IF('DATA UNIT'!$B124="","",'DATA UNIT'!$B124)</f>
        <v>KT 8176 YS</v>
      </c>
      <c r="B2446" s="6" t="str">
        <f aca="false">IF($A2446="","",INDEX(PlanningItemsList,5))</f>
        <v>Brake Shoe</v>
      </c>
      <c r="C2446" s="7"/>
      <c r="D2446" s="7"/>
    </row>
    <row r="2447" customFormat="false" ht="15" hidden="false" customHeight="false" outlineLevel="0" collapsed="false">
      <c r="A2447" s="6" t="str">
        <f aca="false">IF('DATA UNIT'!$B124="","",'DATA UNIT'!$B124)</f>
        <v>KT 8176 YS</v>
      </c>
      <c r="B2447" s="6" t="str">
        <f aca="false">IF($A2447="","",INDEX(PlanningItemsList,6))</f>
        <v>Accu</v>
      </c>
      <c r="C2447" s="7"/>
      <c r="D2447" s="7"/>
    </row>
    <row r="2448" customFormat="false" ht="15" hidden="false" customHeight="false" outlineLevel="0" collapsed="false">
      <c r="A2448" s="6" t="str">
        <f aca="false">IF('DATA UNIT'!$B124="","",'DATA UNIT'!$B124)</f>
        <v>KT 8176 YS</v>
      </c>
      <c r="B2448" s="6" t="str">
        <f aca="false">IF($A2448="","",INDEX(PlanningItemsList,7))</f>
        <v>Kampas Kopling Set</v>
      </c>
      <c r="C2448" s="7"/>
      <c r="D2448" s="7"/>
    </row>
    <row r="2449" customFormat="false" ht="15" hidden="false" customHeight="false" outlineLevel="0" collapsed="false">
      <c r="A2449" s="6" t="str">
        <f aca="false">IF('DATA UNIT'!$B124="","",'DATA UNIT'!$B124)</f>
        <v>KT 8176 YS</v>
      </c>
      <c r="B2449" s="6" t="str">
        <f aca="false">IF($A2449="","",INDEX(PlanningItemsList,8))</f>
        <v>Wiper Blade</v>
      </c>
      <c r="C2449" s="7"/>
      <c r="D2449" s="7"/>
    </row>
    <row r="2450" customFormat="false" ht="15" hidden="false" customHeight="false" outlineLevel="0" collapsed="false">
      <c r="A2450" s="6" t="str">
        <f aca="false">IF('DATA UNIT'!$B124="","",'DATA UNIT'!$B124)</f>
        <v>KT 8176 YS</v>
      </c>
      <c r="B2450" s="6" t="str">
        <f aca="false">IF($A2450="","",INDEX(PlanningItemsList,9))</f>
        <v>Ban Depan</v>
      </c>
      <c r="C2450" s="7"/>
      <c r="D2450" s="7"/>
    </row>
    <row r="2451" customFormat="false" ht="15" hidden="false" customHeight="false" outlineLevel="0" collapsed="false">
      <c r="A2451" s="6" t="str">
        <f aca="false">IF('DATA UNIT'!$B124="","",'DATA UNIT'!$B124)</f>
        <v>KT 8176 YS</v>
      </c>
      <c r="B2451" s="6" t="str">
        <f aca="false">IF($A2451="","",INDEX(PlanningItemsList,10))</f>
        <v>Ban Belakang</v>
      </c>
      <c r="C2451" s="7"/>
      <c r="D2451" s="7"/>
    </row>
    <row r="2452" customFormat="false" ht="15" hidden="false" customHeight="false" outlineLevel="0" collapsed="false">
      <c r="A2452" s="6" t="str">
        <f aca="false">IF('DATA UNIT'!$B124="","",'DATA UNIT'!$B124)</f>
        <v>KT 8176 YS</v>
      </c>
      <c r="B2452" s="6" t="str">
        <f aca="false">IF($A2452="","",INDEX(PlanningItemsList,11))</f>
        <v>Ban Serep</v>
      </c>
      <c r="C2452" s="7"/>
      <c r="D2452" s="7"/>
    </row>
    <row r="2453" customFormat="false" ht="15" hidden="false" customHeight="false" outlineLevel="0" collapsed="false">
      <c r="A2453" s="6" t="str">
        <f aca="false">IF('DATA UNIT'!$B124="","",'DATA UNIT'!$B124)</f>
        <v>KT 8176 YS</v>
      </c>
      <c r="B2453" s="6" t="str">
        <f aca="false">IF($A2453="","",INDEX(PlanningItemsList,12))</f>
        <v>Greasing</v>
      </c>
      <c r="C2453" s="7"/>
      <c r="D2453" s="7"/>
    </row>
    <row r="2454" customFormat="false" ht="15" hidden="false" customHeight="false" outlineLevel="0" collapsed="false">
      <c r="A2454" s="6" t="str">
        <f aca="false">IF('DATA UNIT'!$B124="","",'DATA UNIT'!$B124)</f>
        <v>KT 8176 YS</v>
      </c>
      <c r="B2454" s="6" t="str">
        <f aca="false">IF($A2454="","",INDEX(PlanningItemsList,13))</f>
        <v>V-Belt</v>
      </c>
      <c r="C2454" s="7"/>
      <c r="D2454" s="7"/>
    </row>
    <row r="2455" customFormat="false" ht="15" hidden="false" customHeight="false" outlineLevel="0" collapsed="false">
      <c r="A2455" s="6" t="str">
        <f aca="false">IF('DATA UNIT'!$B124="","",'DATA UNIT'!$B124)</f>
        <v>KT 8176 YS</v>
      </c>
      <c r="B2455" s="6" t="str">
        <f aca="false">IF($A2455="","",INDEX(PlanningItemsList,14))</f>
        <v>Sarung Jok</v>
      </c>
      <c r="C2455" s="7"/>
      <c r="D2455" s="7"/>
    </row>
    <row r="2456" customFormat="false" ht="15" hidden="false" customHeight="false" outlineLevel="0" collapsed="false">
      <c r="A2456" s="6" t="str">
        <f aca="false">IF('DATA UNIT'!$B124="","",'DATA UNIT'!$B124)</f>
        <v>KT 8176 YS</v>
      </c>
      <c r="B2456" s="6" t="str">
        <f aca="false">IF($A2456="","",INDEX(PlanningItemsList,15))</f>
        <v>Karpet Karet</v>
      </c>
      <c r="C2456" s="7"/>
      <c r="D2456" s="7"/>
    </row>
    <row r="2457" customFormat="false" ht="15" hidden="false" customHeight="false" outlineLevel="0" collapsed="false">
      <c r="A2457" s="6" t="str">
        <f aca="false">IF('DATA UNIT'!$B124="","",'DATA UNIT'!$B124)</f>
        <v>KT 8176 YS</v>
      </c>
      <c r="B2457" s="6" t="str">
        <f aca="false">IF($A2457="","",INDEX(PlanningItemsList,16))</f>
        <v>Karpet Dasar</v>
      </c>
      <c r="C2457" s="7"/>
      <c r="D2457" s="7"/>
    </row>
    <row r="2458" customFormat="false" ht="15" hidden="false" customHeight="false" outlineLevel="0" collapsed="false">
      <c r="A2458" s="6" t="str">
        <f aca="false">IF('DATA UNIT'!$B124="","",'DATA UNIT'!$B124)</f>
        <v>KT 8176 YS</v>
      </c>
      <c r="B2458" s="6" t="str">
        <f aca="false">IF($A2458="","",INDEX(PlanningItemsList,17))</f>
        <v>Flushing Radiator</v>
      </c>
      <c r="C2458" s="7"/>
      <c r="D2458" s="7"/>
    </row>
    <row r="2459" customFormat="false" ht="15" hidden="false" customHeight="false" outlineLevel="0" collapsed="false">
      <c r="A2459" s="6" t="str">
        <f aca="false">IF('DATA UNIT'!$B124="","",'DATA UNIT'!$B124)</f>
        <v>KT 8176 YS</v>
      </c>
      <c r="B2459" s="6" t="str">
        <f aca="false">IF($A2459="","",INDEX(PlanningItemsList,18))</f>
        <v>Flushing Steering</v>
      </c>
      <c r="C2459" s="7"/>
      <c r="D2459" s="7"/>
    </row>
    <row r="2460" customFormat="false" ht="15" hidden="false" customHeight="false" outlineLevel="0" collapsed="false">
      <c r="A2460" s="6" t="str">
        <f aca="false">IF('DATA UNIT'!$B124="","",'DATA UNIT'!$B124)</f>
        <v>KT 8176 YS</v>
      </c>
      <c r="B2460" s="6" t="str">
        <f aca="false">IF($A2460="","",INDEX(PlanningItemsList,19))</f>
        <v>Flushing Injector</v>
      </c>
      <c r="C2460" s="7"/>
      <c r="D2460" s="7"/>
    </row>
    <row r="2461" customFormat="false" ht="15" hidden="false" customHeight="false" outlineLevel="0" collapsed="false">
      <c r="A2461" s="6" t="str">
        <f aca="false">IF('DATA UNIT'!$B124="","",'DATA UNIT'!$B124)</f>
        <v>KT 8176 YS</v>
      </c>
      <c r="B2461" s="6" t="str">
        <f aca="false">IF($A2461="","",INDEX(PlanningItemsList,20))</f>
        <v>Flushing Rem</v>
      </c>
      <c r="C2461" s="7"/>
      <c r="D2461" s="7"/>
    </row>
    <row r="2462" customFormat="false" ht="15" hidden="false" customHeight="false" outlineLevel="0" collapsed="false">
      <c r="A2462" s="6" t="str">
        <f aca="false">IF('DATA UNIT'!$B125="","",'DATA UNIT'!$B125)</f>
        <v>DA 7376 HG</v>
      </c>
      <c r="B2462" s="6" t="str">
        <f aca="false">IF($A2462="","",INDEX(PlanningItemsList,1))</f>
        <v>PM Check / Reguler Services</v>
      </c>
      <c r="C2462" s="7"/>
      <c r="D2462" s="7"/>
    </row>
    <row r="2463" customFormat="false" ht="15" hidden="false" customHeight="false" outlineLevel="0" collapsed="false">
      <c r="A2463" s="6" t="str">
        <f aca="false">IF('DATA UNIT'!$B125="","",'DATA UNIT'!$B125)</f>
        <v>DA 7376 HG</v>
      </c>
      <c r="B2463" s="6" t="str">
        <f aca="false">IF($A2463="","",INDEX(PlanningItemsList,2))</f>
        <v>Service A</v>
      </c>
      <c r="C2463" s="7"/>
      <c r="D2463" s="7"/>
    </row>
    <row r="2464" customFormat="false" ht="15" hidden="false" customHeight="false" outlineLevel="0" collapsed="false">
      <c r="A2464" s="6" t="str">
        <f aca="false">IF('DATA UNIT'!$B125="","",'DATA UNIT'!$B125)</f>
        <v>DA 7376 HG</v>
      </c>
      <c r="B2464" s="6" t="str">
        <f aca="false">IF($A2464="","",INDEX(PlanningItemsList,3))</f>
        <v>Service B</v>
      </c>
      <c r="C2464" s="7"/>
      <c r="D2464" s="7"/>
    </row>
    <row r="2465" customFormat="false" ht="15" hidden="false" customHeight="false" outlineLevel="0" collapsed="false">
      <c r="A2465" s="6" t="str">
        <f aca="false">IF('DATA UNIT'!$B125="","",'DATA UNIT'!$B125)</f>
        <v>DA 7376 HG</v>
      </c>
      <c r="B2465" s="6" t="str">
        <f aca="false">IF($A2465="","",INDEX(PlanningItemsList,4))</f>
        <v>Brake Pad</v>
      </c>
      <c r="C2465" s="7"/>
      <c r="D2465" s="7"/>
    </row>
    <row r="2466" customFormat="false" ht="15" hidden="false" customHeight="false" outlineLevel="0" collapsed="false">
      <c r="A2466" s="6" t="str">
        <f aca="false">IF('DATA UNIT'!$B125="","",'DATA UNIT'!$B125)</f>
        <v>DA 7376 HG</v>
      </c>
      <c r="B2466" s="6" t="str">
        <f aca="false">IF($A2466="","",INDEX(PlanningItemsList,5))</f>
        <v>Brake Shoe</v>
      </c>
      <c r="C2466" s="7"/>
      <c r="D2466" s="7"/>
    </row>
    <row r="2467" customFormat="false" ht="15" hidden="false" customHeight="false" outlineLevel="0" collapsed="false">
      <c r="A2467" s="6" t="str">
        <f aca="false">IF('DATA UNIT'!$B125="","",'DATA UNIT'!$B125)</f>
        <v>DA 7376 HG</v>
      </c>
      <c r="B2467" s="6" t="str">
        <f aca="false">IF($A2467="","",INDEX(PlanningItemsList,6))</f>
        <v>Accu</v>
      </c>
      <c r="C2467" s="7"/>
      <c r="D2467" s="7"/>
    </row>
    <row r="2468" customFormat="false" ht="15" hidden="false" customHeight="false" outlineLevel="0" collapsed="false">
      <c r="A2468" s="6" t="str">
        <f aca="false">IF('DATA UNIT'!$B125="","",'DATA UNIT'!$B125)</f>
        <v>DA 7376 HG</v>
      </c>
      <c r="B2468" s="6" t="str">
        <f aca="false">IF($A2468="","",INDEX(PlanningItemsList,7))</f>
        <v>Kampas Kopling Set</v>
      </c>
      <c r="C2468" s="7"/>
      <c r="D2468" s="7"/>
    </row>
    <row r="2469" customFormat="false" ht="15" hidden="false" customHeight="false" outlineLevel="0" collapsed="false">
      <c r="A2469" s="6" t="str">
        <f aca="false">IF('DATA UNIT'!$B125="","",'DATA UNIT'!$B125)</f>
        <v>DA 7376 HG</v>
      </c>
      <c r="B2469" s="6" t="str">
        <f aca="false">IF($A2469="","",INDEX(PlanningItemsList,8))</f>
        <v>Wiper Blade</v>
      </c>
      <c r="C2469" s="7"/>
      <c r="D2469" s="7"/>
    </row>
    <row r="2470" customFormat="false" ht="15" hidden="false" customHeight="false" outlineLevel="0" collapsed="false">
      <c r="A2470" s="6" t="str">
        <f aca="false">IF('DATA UNIT'!$B125="","",'DATA UNIT'!$B125)</f>
        <v>DA 7376 HG</v>
      </c>
      <c r="B2470" s="6" t="str">
        <f aca="false">IF($A2470="","",INDEX(PlanningItemsList,9))</f>
        <v>Ban Depan</v>
      </c>
      <c r="C2470" s="7"/>
      <c r="D2470" s="7"/>
    </row>
    <row r="2471" customFormat="false" ht="15" hidden="false" customHeight="false" outlineLevel="0" collapsed="false">
      <c r="A2471" s="6" t="str">
        <f aca="false">IF('DATA UNIT'!$B125="","",'DATA UNIT'!$B125)</f>
        <v>DA 7376 HG</v>
      </c>
      <c r="B2471" s="6" t="str">
        <f aca="false">IF($A2471="","",INDEX(PlanningItemsList,10))</f>
        <v>Ban Belakang</v>
      </c>
      <c r="C2471" s="7"/>
      <c r="D2471" s="7"/>
    </row>
    <row r="2472" customFormat="false" ht="15" hidden="false" customHeight="false" outlineLevel="0" collapsed="false">
      <c r="A2472" s="6" t="str">
        <f aca="false">IF('DATA UNIT'!$B125="","",'DATA UNIT'!$B125)</f>
        <v>DA 7376 HG</v>
      </c>
      <c r="B2472" s="6" t="str">
        <f aca="false">IF($A2472="","",INDEX(PlanningItemsList,11))</f>
        <v>Ban Serep</v>
      </c>
      <c r="C2472" s="7"/>
      <c r="D2472" s="7"/>
    </row>
    <row r="2473" customFormat="false" ht="15" hidden="false" customHeight="false" outlineLevel="0" collapsed="false">
      <c r="A2473" s="6" t="str">
        <f aca="false">IF('DATA UNIT'!$B125="","",'DATA UNIT'!$B125)</f>
        <v>DA 7376 HG</v>
      </c>
      <c r="B2473" s="6" t="str">
        <f aca="false">IF($A2473="","",INDEX(PlanningItemsList,12))</f>
        <v>Greasing</v>
      </c>
      <c r="C2473" s="7"/>
      <c r="D2473" s="7"/>
    </row>
    <row r="2474" customFormat="false" ht="15" hidden="false" customHeight="false" outlineLevel="0" collapsed="false">
      <c r="A2474" s="6" t="str">
        <f aca="false">IF('DATA UNIT'!$B125="","",'DATA UNIT'!$B125)</f>
        <v>DA 7376 HG</v>
      </c>
      <c r="B2474" s="6" t="str">
        <f aca="false">IF($A2474="","",INDEX(PlanningItemsList,13))</f>
        <v>V-Belt</v>
      </c>
      <c r="C2474" s="7"/>
      <c r="D2474" s="7"/>
    </row>
    <row r="2475" customFormat="false" ht="15" hidden="false" customHeight="false" outlineLevel="0" collapsed="false">
      <c r="A2475" s="6" t="str">
        <f aca="false">IF('DATA UNIT'!$B125="","",'DATA UNIT'!$B125)</f>
        <v>DA 7376 HG</v>
      </c>
      <c r="B2475" s="6" t="str">
        <f aca="false">IF($A2475="","",INDEX(PlanningItemsList,14))</f>
        <v>Sarung Jok</v>
      </c>
      <c r="C2475" s="7"/>
      <c r="D2475" s="7"/>
    </row>
    <row r="2476" customFormat="false" ht="15" hidden="false" customHeight="false" outlineLevel="0" collapsed="false">
      <c r="A2476" s="6" t="str">
        <f aca="false">IF('DATA UNIT'!$B125="","",'DATA UNIT'!$B125)</f>
        <v>DA 7376 HG</v>
      </c>
      <c r="B2476" s="6" t="str">
        <f aca="false">IF($A2476="","",INDEX(PlanningItemsList,15))</f>
        <v>Karpet Karet</v>
      </c>
      <c r="C2476" s="7"/>
      <c r="D2476" s="7"/>
    </row>
    <row r="2477" customFormat="false" ht="15" hidden="false" customHeight="false" outlineLevel="0" collapsed="false">
      <c r="A2477" s="6" t="str">
        <f aca="false">IF('DATA UNIT'!$B125="","",'DATA UNIT'!$B125)</f>
        <v>DA 7376 HG</v>
      </c>
      <c r="B2477" s="6" t="str">
        <f aca="false">IF($A2477="","",INDEX(PlanningItemsList,16))</f>
        <v>Karpet Dasar</v>
      </c>
      <c r="C2477" s="7"/>
      <c r="D2477" s="7"/>
    </row>
    <row r="2478" customFormat="false" ht="15" hidden="false" customHeight="false" outlineLevel="0" collapsed="false">
      <c r="A2478" s="6" t="str">
        <f aca="false">IF('DATA UNIT'!$B125="","",'DATA UNIT'!$B125)</f>
        <v>DA 7376 HG</v>
      </c>
      <c r="B2478" s="6" t="str">
        <f aca="false">IF($A2478="","",INDEX(PlanningItemsList,17))</f>
        <v>Flushing Radiator</v>
      </c>
      <c r="C2478" s="7"/>
      <c r="D2478" s="7"/>
    </row>
    <row r="2479" customFormat="false" ht="15" hidden="false" customHeight="false" outlineLevel="0" collapsed="false">
      <c r="A2479" s="6" t="str">
        <f aca="false">IF('DATA UNIT'!$B125="","",'DATA UNIT'!$B125)</f>
        <v>DA 7376 HG</v>
      </c>
      <c r="B2479" s="6" t="str">
        <f aca="false">IF($A2479="","",INDEX(PlanningItemsList,18))</f>
        <v>Flushing Steering</v>
      </c>
      <c r="C2479" s="7"/>
      <c r="D2479" s="7"/>
    </row>
    <row r="2480" customFormat="false" ht="15" hidden="false" customHeight="false" outlineLevel="0" collapsed="false">
      <c r="A2480" s="6" t="str">
        <f aca="false">IF('DATA UNIT'!$B125="","",'DATA UNIT'!$B125)</f>
        <v>DA 7376 HG</v>
      </c>
      <c r="B2480" s="6" t="str">
        <f aca="false">IF($A2480="","",INDEX(PlanningItemsList,19))</f>
        <v>Flushing Injector</v>
      </c>
      <c r="C2480" s="7"/>
      <c r="D2480" s="7"/>
    </row>
    <row r="2481" customFormat="false" ht="15" hidden="false" customHeight="false" outlineLevel="0" collapsed="false">
      <c r="A2481" s="6" t="str">
        <f aca="false">IF('DATA UNIT'!$B125="","",'DATA UNIT'!$B125)</f>
        <v>DA 7376 HG</v>
      </c>
      <c r="B2481" s="6" t="str">
        <f aca="false">IF($A2481="","",INDEX(PlanningItemsList,20))</f>
        <v>Flushing Rem</v>
      </c>
      <c r="C2481" s="7"/>
      <c r="D2481" s="7"/>
    </row>
    <row r="2482" customFormat="false" ht="15" hidden="false" customHeight="false" outlineLevel="0" collapsed="false">
      <c r="A2482" s="6" t="str">
        <f aca="false">IF('DATA UNIT'!$B126="","",'DATA UNIT'!$B126)</f>
        <v>DA 7378 HG</v>
      </c>
      <c r="B2482" s="6" t="str">
        <f aca="false">IF($A2482="","",INDEX(PlanningItemsList,1))</f>
        <v>PM Check / Reguler Services</v>
      </c>
      <c r="C2482" s="7"/>
      <c r="D2482" s="7"/>
    </row>
    <row r="2483" customFormat="false" ht="15" hidden="false" customHeight="false" outlineLevel="0" collapsed="false">
      <c r="A2483" s="6" t="str">
        <f aca="false">IF('DATA UNIT'!$B126="","",'DATA UNIT'!$B126)</f>
        <v>DA 7378 HG</v>
      </c>
      <c r="B2483" s="6" t="str">
        <f aca="false">IF($A2483="","",INDEX(PlanningItemsList,2))</f>
        <v>Service A</v>
      </c>
      <c r="C2483" s="7"/>
      <c r="D2483" s="7"/>
    </row>
    <row r="2484" customFormat="false" ht="15" hidden="false" customHeight="false" outlineLevel="0" collapsed="false">
      <c r="A2484" s="6" t="str">
        <f aca="false">IF('DATA UNIT'!$B126="","",'DATA UNIT'!$B126)</f>
        <v>DA 7378 HG</v>
      </c>
      <c r="B2484" s="6" t="str">
        <f aca="false">IF($A2484="","",INDEX(PlanningItemsList,3))</f>
        <v>Service B</v>
      </c>
      <c r="C2484" s="7"/>
      <c r="D2484" s="7"/>
    </row>
    <row r="2485" customFormat="false" ht="15" hidden="false" customHeight="false" outlineLevel="0" collapsed="false">
      <c r="A2485" s="6" t="str">
        <f aca="false">IF('DATA UNIT'!$B126="","",'DATA UNIT'!$B126)</f>
        <v>DA 7378 HG</v>
      </c>
      <c r="B2485" s="6" t="str">
        <f aca="false">IF($A2485="","",INDEX(PlanningItemsList,4))</f>
        <v>Brake Pad</v>
      </c>
      <c r="C2485" s="7"/>
      <c r="D2485" s="7"/>
    </row>
    <row r="2486" customFormat="false" ht="15" hidden="false" customHeight="false" outlineLevel="0" collapsed="false">
      <c r="A2486" s="6" t="str">
        <f aca="false">IF('DATA UNIT'!$B126="","",'DATA UNIT'!$B126)</f>
        <v>DA 7378 HG</v>
      </c>
      <c r="B2486" s="6" t="str">
        <f aca="false">IF($A2486="","",INDEX(PlanningItemsList,5))</f>
        <v>Brake Shoe</v>
      </c>
      <c r="C2486" s="7"/>
      <c r="D2486" s="7"/>
    </row>
    <row r="2487" customFormat="false" ht="15" hidden="false" customHeight="false" outlineLevel="0" collapsed="false">
      <c r="A2487" s="6" t="str">
        <f aca="false">IF('DATA UNIT'!$B126="","",'DATA UNIT'!$B126)</f>
        <v>DA 7378 HG</v>
      </c>
      <c r="B2487" s="6" t="str">
        <f aca="false">IF($A2487="","",INDEX(PlanningItemsList,6))</f>
        <v>Accu</v>
      </c>
      <c r="C2487" s="7"/>
      <c r="D2487" s="7"/>
    </row>
    <row r="2488" customFormat="false" ht="15" hidden="false" customHeight="false" outlineLevel="0" collapsed="false">
      <c r="A2488" s="6" t="str">
        <f aca="false">IF('DATA UNIT'!$B126="","",'DATA UNIT'!$B126)</f>
        <v>DA 7378 HG</v>
      </c>
      <c r="B2488" s="6" t="str">
        <f aca="false">IF($A2488="","",INDEX(PlanningItemsList,7))</f>
        <v>Kampas Kopling Set</v>
      </c>
      <c r="C2488" s="7"/>
      <c r="D2488" s="7"/>
    </row>
    <row r="2489" customFormat="false" ht="15" hidden="false" customHeight="false" outlineLevel="0" collapsed="false">
      <c r="A2489" s="6" t="str">
        <f aca="false">IF('DATA UNIT'!$B126="","",'DATA UNIT'!$B126)</f>
        <v>DA 7378 HG</v>
      </c>
      <c r="B2489" s="6" t="str">
        <f aca="false">IF($A2489="","",INDEX(PlanningItemsList,8))</f>
        <v>Wiper Blade</v>
      </c>
      <c r="C2489" s="7"/>
      <c r="D2489" s="7"/>
    </row>
    <row r="2490" customFormat="false" ht="15" hidden="false" customHeight="false" outlineLevel="0" collapsed="false">
      <c r="A2490" s="6" t="str">
        <f aca="false">IF('DATA UNIT'!$B126="","",'DATA UNIT'!$B126)</f>
        <v>DA 7378 HG</v>
      </c>
      <c r="B2490" s="6" t="str">
        <f aca="false">IF($A2490="","",INDEX(PlanningItemsList,9))</f>
        <v>Ban Depan</v>
      </c>
      <c r="C2490" s="7"/>
      <c r="D2490" s="7"/>
    </row>
    <row r="2491" customFormat="false" ht="15" hidden="false" customHeight="false" outlineLevel="0" collapsed="false">
      <c r="A2491" s="6" t="str">
        <f aca="false">IF('DATA UNIT'!$B126="","",'DATA UNIT'!$B126)</f>
        <v>DA 7378 HG</v>
      </c>
      <c r="B2491" s="6" t="str">
        <f aca="false">IF($A2491="","",INDEX(PlanningItemsList,10))</f>
        <v>Ban Belakang</v>
      </c>
      <c r="C2491" s="7"/>
      <c r="D2491" s="7"/>
    </row>
    <row r="2492" customFormat="false" ht="15" hidden="false" customHeight="false" outlineLevel="0" collapsed="false">
      <c r="A2492" s="6" t="str">
        <f aca="false">IF('DATA UNIT'!$B126="","",'DATA UNIT'!$B126)</f>
        <v>DA 7378 HG</v>
      </c>
      <c r="B2492" s="6" t="str">
        <f aca="false">IF($A2492="","",INDEX(PlanningItemsList,11))</f>
        <v>Ban Serep</v>
      </c>
      <c r="C2492" s="7"/>
      <c r="D2492" s="7"/>
    </row>
    <row r="2493" customFormat="false" ht="15" hidden="false" customHeight="false" outlineLevel="0" collapsed="false">
      <c r="A2493" s="6" t="str">
        <f aca="false">IF('DATA UNIT'!$B126="","",'DATA UNIT'!$B126)</f>
        <v>DA 7378 HG</v>
      </c>
      <c r="B2493" s="6" t="str">
        <f aca="false">IF($A2493="","",INDEX(PlanningItemsList,12))</f>
        <v>Greasing</v>
      </c>
      <c r="C2493" s="7"/>
      <c r="D2493" s="7"/>
    </row>
    <row r="2494" customFormat="false" ht="15" hidden="false" customHeight="false" outlineLevel="0" collapsed="false">
      <c r="A2494" s="6" t="str">
        <f aca="false">IF('DATA UNIT'!$B126="","",'DATA UNIT'!$B126)</f>
        <v>DA 7378 HG</v>
      </c>
      <c r="B2494" s="6" t="str">
        <f aca="false">IF($A2494="","",INDEX(PlanningItemsList,13))</f>
        <v>V-Belt</v>
      </c>
      <c r="C2494" s="7"/>
      <c r="D2494" s="7"/>
    </row>
    <row r="2495" customFormat="false" ht="15" hidden="false" customHeight="false" outlineLevel="0" collapsed="false">
      <c r="A2495" s="6" t="str">
        <f aca="false">IF('DATA UNIT'!$B126="","",'DATA UNIT'!$B126)</f>
        <v>DA 7378 HG</v>
      </c>
      <c r="B2495" s="6" t="str">
        <f aca="false">IF($A2495="","",INDEX(PlanningItemsList,14))</f>
        <v>Sarung Jok</v>
      </c>
      <c r="C2495" s="7"/>
      <c r="D2495" s="7"/>
    </row>
    <row r="2496" customFormat="false" ht="15" hidden="false" customHeight="false" outlineLevel="0" collapsed="false">
      <c r="A2496" s="6" t="str">
        <f aca="false">IF('DATA UNIT'!$B126="","",'DATA UNIT'!$B126)</f>
        <v>DA 7378 HG</v>
      </c>
      <c r="B2496" s="6" t="str">
        <f aca="false">IF($A2496="","",INDEX(PlanningItemsList,15))</f>
        <v>Karpet Karet</v>
      </c>
      <c r="C2496" s="7"/>
      <c r="D2496" s="7"/>
    </row>
    <row r="2497" customFormat="false" ht="15" hidden="false" customHeight="false" outlineLevel="0" collapsed="false">
      <c r="A2497" s="6" t="str">
        <f aca="false">IF('DATA UNIT'!$B126="","",'DATA UNIT'!$B126)</f>
        <v>DA 7378 HG</v>
      </c>
      <c r="B2497" s="6" t="str">
        <f aca="false">IF($A2497="","",INDEX(PlanningItemsList,16))</f>
        <v>Karpet Dasar</v>
      </c>
      <c r="C2497" s="7"/>
      <c r="D2497" s="7"/>
    </row>
    <row r="2498" customFormat="false" ht="15" hidden="false" customHeight="false" outlineLevel="0" collapsed="false">
      <c r="A2498" s="6" t="str">
        <f aca="false">IF('DATA UNIT'!$B126="","",'DATA UNIT'!$B126)</f>
        <v>DA 7378 HG</v>
      </c>
      <c r="B2498" s="6" t="str">
        <f aca="false">IF($A2498="","",INDEX(PlanningItemsList,17))</f>
        <v>Flushing Radiator</v>
      </c>
      <c r="C2498" s="7"/>
      <c r="D2498" s="7"/>
    </row>
    <row r="2499" customFormat="false" ht="15" hidden="false" customHeight="false" outlineLevel="0" collapsed="false">
      <c r="A2499" s="6" t="str">
        <f aca="false">IF('DATA UNIT'!$B126="","",'DATA UNIT'!$B126)</f>
        <v>DA 7378 HG</v>
      </c>
      <c r="B2499" s="6" t="str">
        <f aca="false">IF($A2499="","",INDEX(PlanningItemsList,18))</f>
        <v>Flushing Steering</v>
      </c>
      <c r="C2499" s="7"/>
      <c r="D2499" s="7"/>
    </row>
    <row r="2500" customFormat="false" ht="15" hidden="false" customHeight="false" outlineLevel="0" collapsed="false">
      <c r="A2500" s="6" t="str">
        <f aca="false">IF('DATA UNIT'!$B126="","",'DATA UNIT'!$B126)</f>
        <v>DA 7378 HG</v>
      </c>
      <c r="B2500" s="6" t="str">
        <f aca="false">IF($A2500="","",INDEX(PlanningItemsList,19))</f>
        <v>Flushing Injector</v>
      </c>
      <c r="C2500" s="7"/>
      <c r="D2500" s="7"/>
    </row>
    <row r="2501" customFormat="false" ht="15" hidden="false" customHeight="false" outlineLevel="0" collapsed="false">
      <c r="A2501" s="6" t="str">
        <f aca="false">IF('DATA UNIT'!$B126="","",'DATA UNIT'!$B126)</f>
        <v>DA 7378 HG</v>
      </c>
      <c r="B2501" s="6" t="str">
        <f aca="false">IF($A2501="","",INDEX(PlanningItemsList,20))</f>
        <v>Flushing Rem</v>
      </c>
      <c r="C2501" s="7"/>
      <c r="D2501" s="7"/>
    </row>
    <row r="2502" customFormat="false" ht="15" hidden="false" customHeight="false" outlineLevel="0" collapsed="false">
      <c r="A2502" s="6" t="str">
        <f aca="false">IF('DATA UNIT'!$B127="","",'DATA UNIT'!$B127)</f>
        <v>KT 8763 LQ</v>
      </c>
      <c r="B2502" s="6" t="str">
        <f aca="false">IF($A2502="","",INDEX(PlanningItemsList,1))</f>
        <v>PM Check / Reguler Services</v>
      </c>
      <c r="C2502" s="7"/>
      <c r="D2502" s="7"/>
    </row>
    <row r="2503" customFormat="false" ht="15" hidden="false" customHeight="false" outlineLevel="0" collapsed="false">
      <c r="A2503" s="6" t="str">
        <f aca="false">IF('DATA UNIT'!$B127="","",'DATA UNIT'!$B127)</f>
        <v>KT 8763 LQ</v>
      </c>
      <c r="B2503" s="6" t="str">
        <f aca="false">IF($A2503="","",INDEX(PlanningItemsList,2))</f>
        <v>Service A</v>
      </c>
      <c r="C2503" s="7"/>
      <c r="D2503" s="7"/>
    </row>
    <row r="2504" customFormat="false" ht="15" hidden="false" customHeight="false" outlineLevel="0" collapsed="false">
      <c r="A2504" s="6" t="str">
        <f aca="false">IF('DATA UNIT'!$B127="","",'DATA UNIT'!$B127)</f>
        <v>KT 8763 LQ</v>
      </c>
      <c r="B2504" s="6" t="str">
        <f aca="false">IF($A2504="","",INDEX(PlanningItemsList,3))</f>
        <v>Service B</v>
      </c>
      <c r="C2504" s="7"/>
      <c r="D2504" s="7"/>
    </row>
    <row r="2505" customFormat="false" ht="15" hidden="false" customHeight="false" outlineLevel="0" collapsed="false">
      <c r="A2505" s="6" t="str">
        <f aca="false">IF('DATA UNIT'!$B127="","",'DATA UNIT'!$B127)</f>
        <v>KT 8763 LQ</v>
      </c>
      <c r="B2505" s="6" t="str">
        <f aca="false">IF($A2505="","",INDEX(PlanningItemsList,4))</f>
        <v>Brake Pad</v>
      </c>
      <c r="C2505" s="7"/>
      <c r="D2505" s="7"/>
    </row>
    <row r="2506" customFormat="false" ht="15" hidden="false" customHeight="false" outlineLevel="0" collapsed="false">
      <c r="A2506" s="6" t="str">
        <f aca="false">IF('DATA UNIT'!$B127="","",'DATA UNIT'!$B127)</f>
        <v>KT 8763 LQ</v>
      </c>
      <c r="B2506" s="6" t="str">
        <f aca="false">IF($A2506="","",INDEX(PlanningItemsList,5))</f>
        <v>Brake Shoe</v>
      </c>
      <c r="C2506" s="7"/>
      <c r="D2506" s="7"/>
    </row>
    <row r="2507" customFormat="false" ht="15" hidden="false" customHeight="false" outlineLevel="0" collapsed="false">
      <c r="A2507" s="6" t="str">
        <f aca="false">IF('DATA UNIT'!$B127="","",'DATA UNIT'!$B127)</f>
        <v>KT 8763 LQ</v>
      </c>
      <c r="B2507" s="6" t="str">
        <f aca="false">IF($A2507="","",INDEX(PlanningItemsList,6))</f>
        <v>Accu</v>
      </c>
      <c r="C2507" s="7"/>
      <c r="D2507" s="7"/>
    </row>
    <row r="2508" customFormat="false" ht="15" hidden="false" customHeight="false" outlineLevel="0" collapsed="false">
      <c r="A2508" s="6" t="str">
        <f aca="false">IF('DATA UNIT'!$B127="","",'DATA UNIT'!$B127)</f>
        <v>KT 8763 LQ</v>
      </c>
      <c r="B2508" s="6" t="str">
        <f aca="false">IF($A2508="","",INDEX(PlanningItemsList,7))</f>
        <v>Kampas Kopling Set</v>
      </c>
      <c r="C2508" s="7"/>
      <c r="D2508" s="7"/>
    </row>
    <row r="2509" customFormat="false" ht="15" hidden="false" customHeight="false" outlineLevel="0" collapsed="false">
      <c r="A2509" s="6" t="str">
        <f aca="false">IF('DATA UNIT'!$B127="","",'DATA UNIT'!$B127)</f>
        <v>KT 8763 LQ</v>
      </c>
      <c r="B2509" s="6" t="str">
        <f aca="false">IF($A2509="","",INDEX(PlanningItemsList,8))</f>
        <v>Wiper Blade</v>
      </c>
      <c r="C2509" s="7"/>
      <c r="D2509" s="7"/>
    </row>
    <row r="2510" customFormat="false" ht="15" hidden="false" customHeight="false" outlineLevel="0" collapsed="false">
      <c r="A2510" s="6" t="str">
        <f aca="false">IF('DATA UNIT'!$B127="","",'DATA UNIT'!$B127)</f>
        <v>KT 8763 LQ</v>
      </c>
      <c r="B2510" s="6" t="str">
        <f aca="false">IF($A2510="","",INDEX(PlanningItemsList,9))</f>
        <v>Ban Depan</v>
      </c>
      <c r="C2510" s="7"/>
      <c r="D2510" s="7"/>
    </row>
    <row r="2511" customFormat="false" ht="15" hidden="false" customHeight="false" outlineLevel="0" collapsed="false">
      <c r="A2511" s="6" t="str">
        <f aca="false">IF('DATA UNIT'!$B127="","",'DATA UNIT'!$B127)</f>
        <v>KT 8763 LQ</v>
      </c>
      <c r="B2511" s="6" t="str">
        <f aca="false">IF($A2511="","",INDEX(PlanningItemsList,10))</f>
        <v>Ban Belakang</v>
      </c>
      <c r="C2511" s="7"/>
      <c r="D2511" s="7"/>
    </row>
    <row r="2512" customFormat="false" ht="15" hidden="false" customHeight="false" outlineLevel="0" collapsed="false">
      <c r="A2512" s="6" t="str">
        <f aca="false">IF('DATA UNIT'!$B127="","",'DATA UNIT'!$B127)</f>
        <v>KT 8763 LQ</v>
      </c>
      <c r="B2512" s="6" t="str">
        <f aca="false">IF($A2512="","",INDEX(PlanningItemsList,11))</f>
        <v>Ban Serep</v>
      </c>
      <c r="C2512" s="7"/>
      <c r="D2512" s="7"/>
    </row>
    <row r="2513" customFormat="false" ht="15" hidden="false" customHeight="false" outlineLevel="0" collapsed="false">
      <c r="A2513" s="6" t="str">
        <f aca="false">IF('DATA UNIT'!$B127="","",'DATA UNIT'!$B127)</f>
        <v>KT 8763 LQ</v>
      </c>
      <c r="B2513" s="6" t="str">
        <f aca="false">IF($A2513="","",INDEX(PlanningItemsList,12))</f>
        <v>Greasing</v>
      </c>
      <c r="C2513" s="7"/>
      <c r="D2513" s="7"/>
    </row>
    <row r="2514" customFormat="false" ht="15" hidden="false" customHeight="false" outlineLevel="0" collapsed="false">
      <c r="A2514" s="6" t="str">
        <f aca="false">IF('DATA UNIT'!$B127="","",'DATA UNIT'!$B127)</f>
        <v>KT 8763 LQ</v>
      </c>
      <c r="B2514" s="6" t="str">
        <f aca="false">IF($A2514="","",INDEX(PlanningItemsList,13))</f>
        <v>V-Belt</v>
      </c>
      <c r="C2514" s="7"/>
      <c r="D2514" s="7"/>
    </row>
    <row r="2515" customFormat="false" ht="15" hidden="false" customHeight="false" outlineLevel="0" collapsed="false">
      <c r="A2515" s="6" t="str">
        <f aca="false">IF('DATA UNIT'!$B127="","",'DATA UNIT'!$B127)</f>
        <v>KT 8763 LQ</v>
      </c>
      <c r="B2515" s="6" t="str">
        <f aca="false">IF($A2515="","",INDEX(PlanningItemsList,14))</f>
        <v>Sarung Jok</v>
      </c>
      <c r="C2515" s="7"/>
      <c r="D2515" s="7"/>
    </row>
    <row r="2516" customFormat="false" ht="15" hidden="false" customHeight="false" outlineLevel="0" collapsed="false">
      <c r="A2516" s="6" t="str">
        <f aca="false">IF('DATA UNIT'!$B127="","",'DATA UNIT'!$B127)</f>
        <v>KT 8763 LQ</v>
      </c>
      <c r="B2516" s="6" t="str">
        <f aca="false">IF($A2516="","",INDEX(PlanningItemsList,15))</f>
        <v>Karpet Karet</v>
      </c>
      <c r="C2516" s="7"/>
      <c r="D2516" s="7"/>
    </row>
    <row r="2517" customFormat="false" ht="15" hidden="false" customHeight="false" outlineLevel="0" collapsed="false">
      <c r="A2517" s="6" t="str">
        <f aca="false">IF('DATA UNIT'!$B127="","",'DATA UNIT'!$B127)</f>
        <v>KT 8763 LQ</v>
      </c>
      <c r="B2517" s="6" t="str">
        <f aca="false">IF($A2517="","",INDEX(PlanningItemsList,16))</f>
        <v>Karpet Dasar</v>
      </c>
      <c r="C2517" s="7"/>
      <c r="D2517" s="7"/>
    </row>
    <row r="2518" customFormat="false" ht="15" hidden="false" customHeight="false" outlineLevel="0" collapsed="false">
      <c r="A2518" s="6" t="str">
        <f aca="false">IF('DATA UNIT'!$B127="","",'DATA UNIT'!$B127)</f>
        <v>KT 8763 LQ</v>
      </c>
      <c r="B2518" s="6" t="str">
        <f aca="false">IF($A2518="","",INDEX(PlanningItemsList,17))</f>
        <v>Flushing Radiator</v>
      </c>
      <c r="C2518" s="7"/>
      <c r="D2518" s="7"/>
    </row>
    <row r="2519" customFormat="false" ht="15" hidden="false" customHeight="false" outlineLevel="0" collapsed="false">
      <c r="A2519" s="6" t="str">
        <f aca="false">IF('DATA UNIT'!$B127="","",'DATA UNIT'!$B127)</f>
        <v>KT 8763 LQ</v>
      </c>
      <c r="B2519" s="6" t="str">
        <f aca="false">IF($A2519="","",INDEX(PlanningItemsList,18))</f>
        <v>Flushing Steering</v>
      </c>
      <c r="C2519" s="7"/>
      <c r="D2519" s="7"/>
    </row>
    <row r="2520" customFormat="false" ht="15" hidden="false" customHeight="false" outlineLevel="0" collapsed="false">
      <c r="A2520" s="6" t="str">
        <f aca="false">IF('DATA UNIT'!$B127="","",'DATA UNIT'!$B127)</f>
        <v>KT 8763 LQ</v>
      </c>
      <c r="B2520" s="6" t="str">
        <f aca="false">IF($A2520="","",INDEX(PlanningItemsList,19))</f>
        <v>Flushing Injector</v>
      </c>
      <c r="C2520" s="7"/>
      <c r="D2520" s="7"/>
    </row>
    <row r="2521" customFormat="false" ht="15" hidden="false" customHeight="false" outlineLevel="0" collapsed="false">
      <c r="A2521" s="6" t="str">
        <f aca="false">IF('DATA UNIT'!$B127="","",'DATA UNIT'!$B127)</f>
        <v>KT 8763 LQ</v>
      </c>
      <c r="B2521" s="6" t="str">
        <f aca="false">IF($A2521="","",INDEX(PlanningItemsList,20))</f>
        <v>Flushing Rem</v>
      </c>
      <c r="C2521" s="7"/>
      <c r="D2521" s="7"/>
    </row>
    <row r="2522" customFormat="false" ht="15" hidden="false" customHeight="false" outlineLevel="0" collapsed="false">
      <c r="A2522" s="6" t="str">
        <f aca="false">IF('DATA UNIT'!$B128="","",'DATA UNIT'!$B128)</f>
        <v>B 1153 EKX</v>
      </c>
      <c r="B2522" s="6" t="str">
        <f aca="false">IF($A2522="","",INDEX(PlanningItemsList,1))</f>
        <v>PM Check / Reguler Services</v>
      </c>
      <c r="C2522" s="7"/>
      <c r="D2522" s="7"/>
    </row>
    <row r="2523" customFormat="false" ht="15" hidden="false" customHeight="false" outlineLevel="0" collapsed="false">
      <c r="A2523" s="6" t="str">
        <f aca="false">IF('DATA UNIT'!$B128="","",'DATA UNIT'!$B128)</f>
        <v>B 1153 EKX</v>
      </c>
      <c r="B2523" s="6" t="str">
        <f aca="false">IF($A2523="","",INDEX(PlanningItemsList,2))</f>
        <v>Service A</v>
      </c>
      <c r="C2523" s="7"/>
      <c r="D2523" s="7"/>
    </row>
    <row r="2524" customFormat="false" ht="15" hidden="false" customHeight="false" outlineLevel="0" collapsed="false">
      <c r="A2524" s="6" t="str">
        <f aca="false">IF('DATA UNIT'!$B128="","",'DATA UNIT'!$B128)</f>
        <v>B 1153 EKX</v>
      </c>
      <c r="B2524" s="6" t="str">
        <f aca="false">IF($A2524="","",INDEX(PlanningItemsList,3))</f>
        <v>Service B</v>
      </c>
      <c r="C2524" s="7"/>
      <c r="D2524" s="7"/>
    </row>
    <row r="2525" customFormat="false" ht="15" hidden="false" customHeight="false" outlineLevel="0" collapsed="false">
      <c r="A2525" s="6" t="str">
        <f aca="false">IF('DATA UNIT'!$B128="","",'DATA UNIT'!$B128)</f>
        <v>B 1153 EKX</v>
      </c>
      <c r="B2525" s="6" t="str">
        <f aca="false">IF($A2525="","",INDEX(PlanningItemsList,4))</f>
        <v>Brake Pad</v>
      </c>
      <c r="C2525" s="7"/>
      <c r="D2525" s="7"/>
    </row>
    <row r="2526" customFormat="false" ht="15" hidden="false" customHeight="false" outlineLevel="0" collapsed="false">
      <c r="A2526" s="6" t="str">
        <f aca="false">IF('DATA UNIT'!$B128="","",'DATA UNIT'!$B128)</f>
        <v>B 1153 EKX</v>
      </c>
      <c r="B2526" s="6" t="str">
        <f aca="false">IF($A2526="","",INDEX(PlanningItemsList,5))</f>
        <v>Brake Shoe</v>
      </c>
      <c r="C2526" s="7"/>
      <c r="D2526" s="7"/>
    </row>
    <row r="2527" customFormat="false" ht="15" hidden="false" customHeight="false" outlineLevel="0" collapsed="false">
      <c r="A2527" s="6" t="str">
        <f aca="false">IF('DATA UNIT'!$B128="","",'DATA UNIT'!$B128)</f>
        <v>B 1153 EKX</v>
      </c>
      <c r="B2527" s="6" t="str">
        <f aca="false">IF($A2527="","",INDEX(PlanningItemsList,6))</f>
        <v>Accu</v>
      </c>
      <c r="C2527" s="7"/>
      <c r="D2527" s="7"/>
    </row>
    <row r="2528" customFormat="false" ht="15" hidden="false" customHeight="false" outlineLevel="0" collapsed="false">
      <c r="A2528" s="6" t="str">
        <f aca="false">IF('DATA UNIT'!$B128="","",'DATA UNIT'!$B128)</f>
        <v>B 1153 EKX</v>
      </c>
      <c r="B2528" s="6" t="str">
        <f aca="false">IF($A2528="","",INDEX(PlanningItemsList,7))</f>
        <v>Kampas Kopling Set</v>
      </c>
      <c r="C2528" s="7"/>
      <c r="D2528" s="7"/>
    </row>
    <row r="2529" customFormat="false" ht="15" hidden="false" customHeight="false" outlineLevel="0" collapsed="false">
      <c r="A2529" s="6" t="str">
        <f aca="false">IF('DATA UNIT'!$B128="","",'DATA UNIT'!$B128)</f>
        <v>B 1153 EKX</v>
      </c>
      <c r="B2529" s="6" t="str">
        <f aca="false">IF($A2529="","",INDEX(PlanningItemsList,8))</f>
        <v>Wiper Blade</v>
      </c>
      <c r="C2529" s="7"/>
      <c r="D2529" s="7"/>
    </row>
    <row r="2530" customFormat="false" ht="15" hidden="false" customHeight="false" outlineLevel="0" collapsed="false">
      <c r="A2530" s="6" t="str">
        <f aca="false">IF('DATA UNIT'!$B128="","",'DATA UNIT'!$B128)</f>
        <v>B 1153 EKX</v>
      </c>
      <c r="B2530" s="6" t="str">
        <f aca="false">IF($A2530="","",INDEX(PlanningItemsList,9))</f>
        <v>Ban Depan</v>
      </c>
      <c r="C2530" s="7"/>
      <c r="D2530" s="7"/>
    </row>
    <row r="2531" customFormat="false" ht="15" hidden="false" customHeight="false" outlineLevel="0" collapsed="false">
      <c r="A2531" s="6" t="str">
        <f aca="false">IF('DATA UNIT'!$B128="","",'DATA UNIT'!$B128)</f>
        <v>B 1153 EKX</v>
      </c>
      <c r="B2531" s="6" t="str">
        <f aca="false">IF($A2531="","",INDEX(PlanningItemsList,10))</f>
        <v>Ban Belakang</v>
      </c>
      <c r="C2531" s="7"/>
      <c r="D2531" s="7"/>
    </row>
    <row r="2532" customFormat="false" ht="15" hidden="false" customHeight="false" outlineLevel="0" collapsed="false">
      <c r="A2532" s="6" t="str">
        <f aca="false">IF('DATA UNIT'!$B128="","",'DATA UNIT'!$B128)</f>
        <v>B 1153 EKX</v>
      </c>
      <c r="B2532" s="6" t="str">
        <f aca="false">IF($A2532="","",INDEX(PlanningItemsList,11))</f>
        <v>Ban Serep</v>
      </c>
      <c r="C2532" s="7"/>
      <c r="D2532" s="7"/>
    </row>
    <row r="2533" customFormat="false" ht="15" hidden="false" customHeight="false" outlineLevel="0" collapsed="false">
      <c r="A2533" s="6" t="str">
        <f aca="false">IF('DATA UNIT'!$B128="","",'DATA UNIT'!$B128)</f>
        <v>B 1153 EKX</v>
      </c>
      <c r="B2533" s="6" t="str">
        <f aca="false">IF($A2533="","",INDEX(PlanningItemsList,12))</f>
        <v>Greasing</v>
      </c>
      <c r="C2533" s="7"/>
      <c r="D2533" s="7"/>
    </row>
    <row r="2534" customFormat="false" ht="15" hidden="false" customHeight="false" outlineLevel="0" collapsed="false">
      <c r="A2534" s="6" t="str">
        <f aca="false">IF('DATA UNIT'!$B128="","",'DATA UNIT'!$B128)</f>
        <v>B 1153 EKX</v>
      </c>
      <c r="B2534" s="6" t="str">
        <f aca="false">IF($A2534="","",INDEX(PlanningItemsList,13))</f>
        <v>V-Belt</v>
      </c>
      <c r="C2534" s="7"/>
      <c r="D2534" s="7"/>
    </row>
    <row r="2535" customFormat="false" ht="15" hidden="false" customHeight="false" outlineLevel="0" collapsed="false">
      <c r="A2535" s="6" t="str">
        <f aca="false">IF('DATA UNIT'!$B128="","",'DATA UNIT'!$B128)</f>
        <v>B 1153 EKX</v>
      </c>
      <c r="B2535" s="6" t="str">
        <f aca="false">IF($A2535="","",INDEX(PlanningItemsList,14))</f>
        <v>Sarung Jok</v>
      </c>
      <c r="C2535" s="7"/>
      <c r="D2535" s="7"/>
    </row>
    <row r="2536" customFormat="false" ht="15" hidden="false" customHeight="false" outlineLevel="0" collapsed="false">
      <c r="A2536" s="6" t="str">
        <f aca="false">IF('DATA UNIT'!$B128="","",'DATA UNIT'!$B128)</f>
        <v>B 1153 EKX</v>
      </c>
      <c r="B2536" s="6" t="str">
        <f aca="false">IF($A2536="","",INDEX(PlanningItemsList,15))</f>
        <v>Karpet Karet</v>
      </c>
      <c r="C2536" s="7"/>
      <c r="D2536" s="7"/>
    </row>
    <row r="2537" customFormat="false" ht="15" hidden="false" customHeight="false" outlineLevel="0" collapsed="false">
      <c r="A2537" s="6" t="str">
        <f aca="false">IF('DATA UNIT'!$B128="","",'DATA UNIT'!$B128)</f>
        <v>B 1153 EKX</v>
      </c>
      <c r="B2537" s="6" t="str">
        <f aca="false">IF($A2537="","",INDEX(PlanningItemsList,16))</f>
        <v>Karpet Dasar</v>
      </c>
      <c r="C2537" s="7"/>
      <c r="D2537" s="7"/>
    </row>
    <row r="2538" customFormat="false" ht="15" hidden="false" customHeight="false" outlineLevel="0" collapsed="false">
      <c r="A2538" s="6" t="str">
        <f aca="false">IF('DATA UNIT'!$B128="","",'DATA UNIT'!$B128)</f>
        <v>B 1153 EKX</v>
      </c>
      <c r="B2538" s="6" t="str">
        <f aca="false">IF($A2538="","",INDEX(PlanningItemsList,17))</f>
        <v>Flushing Radiator</v>
      </c>
      <c r="C2538" s="7"/>
      <c r="D2538" s="7"/>
    </row>
    <row r="2539" customFormat="false" ht="15" hidden="false" customHeight="false" outlineLevel="0" collapsed="false">
      <c r="A2539" s="6" t="str">
        <f aca="false">IF('DATA UNIT'!$B128="","",'DATA UNIT'!$B128)</f>
        <v>B 1153 EKX</v>
      </c>
      <c r="B2539" s="6" t="str">
        <f aca="false">IF($A2539="","",INDEX(PlanningItemsList,18))</f>
        <v>Flushing Steering</v>
      </c>
      <c r="C2539" s="7"/>
      <c r="D2539" s="7"/>
    </row>
    <row r="2540" customFormat="false" ht="15" hidden="false" customHeight="false" outlineLevel="0" collapsed="false">
      <c r="A2540" s="6" t="str">
        <f aca="false">IF('DATA UNIT'!$B128="","",'DATA UNIT'!$B128)</f>
        <v>B 1153 EKX</v>
      </c>
      <c r="B2540" s="6" t="str">
        <f aca="false">IF($A2540="","",INDEX(PlanningItemsList,19))</f>
        <v>Flushing Injector</v>
      </c>
      <c r="C2540" s="7"/>
      <c r="D2540" s="7"/>
    </row>
    <row r="2541" customFormat="false" ht="15" hidden="false" customHeight="false" outlineLevel="0" collapsed="false">
      <c r="A2541" s="6" t="str">
        <f aca="false">IF('DATA UNIT'!$B128="","",'DATA UNIT'!$B128)</f>
        <v>B 1153 EKX</v>
      </c>
      <c r="B2541" s="6" t="str">
        <f aca="false">IF($A2541="","",INDEX(PlanningItemsList,20))</f>
        <v>Flushing Rem</v>
      </c>
      <c r="C2541" s="7"/>
      <c r="D2541" s="7"/>
    </row>
    <row r="2542" customFormat="false" ht="15" hidden="false" customHeight="false" outlineLevel="0" collapsed="false">
      <c r="A2542" s="6" t="str">
        <f aca="false">IF('DATA UNIT'!$B129="","",'DATA UNIT'!$B129)</f>
        <v>KT 8418 YB</v>
      </c>
      <c r="B2542" s="6" t="str">
        <f aca="false">IF($A2542="","",INDEX(PlanningItemsList,1))</f>
        <v>PM Check / Reguler Services</v>
      </c>
      <c r="C2542" s="7"/>
      <c r="D2542" s="7"/>
    </row>
    <row r="2543" customFormat="false" ht="15" hidden="false" customHeight="false" outlineLevel="0" collapsed="false">
      <c r="A2543" s="6" t="str">
        <f aca="false">IF('DATA UNIT'!$B129="","",'DATA UNIT'!$B129)</f>
        <v>KT 8418 YB</v>
      </c>
      <c r="B2543" s="6" t="str">
        <f aca="false">IF($A2543="","",INDEX(PlanningItemsList,2))</f>
        <v>Service A</v>
      </c>
      <c r="C2543" s="7"/>
      <c r="D2543" s="7"/>
    </row>
    <row r="2544" customFormat="false" ht="15" hidden="false" customHeight="false" outlineLevel="0" collapsed="false">
      <c r="A2544" s="6" t="str">
        <f aca="false">IF('DATA UNIT'!$B129="","",'DATA UNIT'!$B129)</f>
        <v>KT 8418 YB</v>
      </c>
      <c r="B2544" s="6" t="str">
        <f aca="false">IF($A2544="","",INDEX(PlanningItemsList,3))</f>
        <v>Service B</v>
      </c>
      <c r="C2544" s="7"/>
      <c r="D2544" s="7"/>
    </row>
    <row r="2545" customFormat="false" ht="15" hidden="false" customHeight="false" outlineLevel="0" collapsed="false">
      <c r="A2545" s="6" t="str">
        <f aca="false">IF('DATA UNIT'!$B129="","",'DATA UNIT'!$B129)</f>
        <v>KT 8418 YB</v>
      </c>
      <c r="B2545" s="6" t="str">
        <f aca="false">IF($A2545="","",INDEX(PlanningItemsList,4))</f>
        <v>Brake Pad</v>
      </c>
      <c r="C2545" s="7"/>
      <c r="D2545" s="7"/>
    </row>
    <row r="2546" customFormat="false" ht="15" hidden="false" customHeight="false" outlineLevel="0" collapsed="false">
      <c r="A2546" s="6" t="str">
        <f aca="false">IF('DATA UNIT'!$B129="","",'DATA UNIT'!$B129)</f>
        <v>KT 8418 YB</v>
      </c>
      <c r="B2546" s="6" t="str">
        <f aca="false">IF($A2546="","",INDEX(PlanningItemsList,5))</f>
        <v>Brake Shoe</v>
      </c>
      <c r="C2546" s="7"/>
      <c r="D2546" s="7"/>
    </row>
    <row r="2547" customFormat="false" ht="15" hidden="false" customHeight="false" outlineLevel="0" collapsed="false">
      <c r="A2547" s="6" t="str">
        <f aca="false">IF('DATA UNIT'!$B129="","",'DATA UNIT'!$B129)</f>
        <v>KT 8418 YB</v>
      </c>
      <c r="B2547" s="6" t="str">
        <f aca="false">IF($A2547="","",INDEX(PlanningItemsList,6))</f>
        <v>Accu</v>
      </c>
      <c r="C2547" s="7"/>
      <c r="D2547" s="7"/>
    </row>
    <row r="2548" customFormat="false" ht="15" hidden="false" customHeight="false" outlineLevel="0" collapsed="false">
      <c r="A2548" s="6" t="str">
        <f aca="false">IF('DATA UNIT'!$B129="","",'DATA UNIT'!$B129)</f>
        <v>KT 8418 YB</v>
      </c>
      <c r="B2548" s="6" t="str">
        <f aca="false">IF($A2548="","",INDEX(PlanningItemsList,7))</f>
        <v>Kampas Kopling Set</v>
      </c>
      <c r="C2548" s="7"/>
      <c r="D2548" s="7"/>
    </row>
    <row r="2549" customFormat="false" ht="15" hidden="false" customHeight="false" outlineLevel="0" collapsed="false">
      <c r="A2549" s="6" t="str">
        <f aca="false">IF('DATA UNIT'!$B129="","",'DATA UNIT'!$B129)</f>
        <v>KT 8418 YB</v>
      </c>
      <c r="B2549" s="6" t="str">
        <f aca="false">IF($A2549="","",INDEX(PlanningItemsList,8))</f>
        <v>Wiper Blade</v>
      </c>
      <c r="C2549" s="7"/>
      <c r="D2549" s="7"/>
    </row>
    <row r="2550" customFormat="false" ht="15" hidden="false" customHeight="false" outlineLevel="0" collapsed="false">
      <c r="A2550" s="6" t="str">
        <f aca="false">IF('DATA UNIT'!$B129="","",'DATA UNIT'!$B129)</f>
        <v>KT 8418 YB</v>
      </c>
      <c r="B2550" s="6" t="str">
        <f aca="false">IF($A2550="","",INDEX(PlanningItemsList,9))</f>
        <v>Ban Depan</v>
      </c>
      <c r="C2550" s="7"/>
      <c r="D2550" s="7"/>
    </row>
    <row r="2551" customFormat="false" ht="15" hidden="false" customHeight="false" outlineLevel="0" collapsed="false">
      <c r="A2551" s="6" t="str">
        <f aca="false">IF('DATA UNIT'!$B129="","",'DATA UNIT'!$B129)</f>
        <v>KT 8418 YB</v>
      </c>
      <c r="B2551" s="6" t="str">
        <f aca="false">IF($A2551="","",INDEX(PlanningItemsList,10))</f>
        <v>Ban Belakang</v>
      </c>
      <c r="C2551" s="7"/>
      <c r="D2551" s="7"/>
    </row>
    <row r="2552" customFormat="false" ht="15" hidden="false" customHeight="false" outlineLevel="0" collapsed="false">
      <c r="A2552" s="6" t="str">
        <f aca="false">IF('DATA UNIT'!$B129="","",'DATA UNIT'!$B129)</f>
        <v>KT 8418 YB</v>
      </c>
      <c r="B2552" s="6" t="str">
        <f aca="false">IF($A2552="","",INDEX(PlanningItemsList,11))</f>
        <v>Ban Serep</v>
      </c>
      <c r="C2552" s="7"/>
      <c r="D2552" s="7"/>
    </row>
    <row r="2553" customFormat="false" ht="15" hidden="false" customHeight="false" outlineLevel="0" collapsed="false">
      <c r="A2553" s="6" t="str">
        <f aca="false">IF('DATA UNIT'!$B129="","",'DATA UNIT'!$B129)</f>
        <v>KT 8418 YB</v>
      </c>
      <c r="B2553" s="6" t="str">
        <f aca="false">IF($A2553="","",INDEX(PlanningItemsList,12))</f>
        <v>Greasing</v>
      </c>
      <c r="C2553" s="7"/>
      <c r="D2553" s="7"/>
    </row>
    <row r="2554" customFormat="false" ht="15" hidden="false" customHeight="false" outlineLevel="0" collapsed="false">
      <c r="A2554" s="6" t="str">
        <f aca="false">IF('DATA UNIT'!$B129="","",'DATA UNIT'!$B129)</f>
        <v>KT 8418 YB</v>
      </c>
      <c r="B2554" s="6" t="str">
        <f aca="false">IF($A2554="","",INDEX(PlanningItemsList,13))</f>
        <v>V-Belt</v>
      </c>
      <c r="C2554" s="7"/>
      <c r="D2554" s="7"/>
    </row>
    <row r="2555" customFormat="false" ht="15" hidden="false" customHeight="false" outlineLevel="0" collapsed="false">
      <c r="A2555" s="6" t="str">
        <f aca="false">IF('DATA UNIT'!$B129="","",'DATA UNIT'!$B129)</f>
        <v>KT 8418 YB</v>
      </c>
      <c r="B2555" s="6" t="str">
        <f aca="false">IF($A2555="","",INDEX(PlanningItemsList,14))</f>
        <v>Sarung Jok</v>
      </c>
      <c r="C2555" s="7"/>
      <c r="D2555" s="7"/>
    </row>
    <row r="2556" customFormat="false" ht="15" hidden="false" customHeight="false" outlineLevel="0" collapsed="false">
      <c r="A2556" s="6" t="str">
        <f aca="false">IF('DATA UNIT'!$B129="","",'DATA UNIT'!$B129)</f>
        <v>KT 8418 YB</v>
      </c>
      <c r="B2556" s="6" t="str">
        <f aca="false">IF($A2556="","",INDEX(PlanningItemsList,15))</f>
        <v>Karpet Karet</v>
      </c>
      <c r="C2556" s="7"/>
      <c r="D2556" s="7"/>
    </row>
    <row r="2557" customFormat="false" ht="15" hidden="false" customHeight="false" outlineLevel="0" collapsed="false">
      <c r="A2557" s="6" t="str">
        <f aca="false">IF('DATA UNIT'!$B129="","",'DATA UNIT'!$B129)</f>
        <v>KT 8418 YB</v>
      </c>
      <c r="B2557" s="6" t="str">
        <f aca="false">IF($A2557="","",INDEX(PlanningItemsList,16))</f>
        <v>Karpet Dasar</v>
      </c>
      <c r="C2557" s="7"/>
      <c r="D2557" s="7"/>
    </row>
    <row r="2558" customFormat="false" ht="15" hidden="false" customHeight="false" outlineLevel="0" collapsed="false">
      <c r="A2558" s="6" t="str">
        <f aca="false">IF('DATA UNIT'!$B129="","",'DATA UNIT'!$B129)</f>
        <v>KT 8418 YB</v>
      </c>
      <c r="B2558" s="6" t="str">
        <f aca="false">IF($A2558="","",INDEX(PlanningItemsList,17))</f>
        <v>Flushing Radiator</v>
      </c>
      <c r="C2558" s="7"/>
      <c r="D2558" s="7"/>
    </row>
    <row r="2559" customFormat="false" ht="15" hidden="false" customHeight="false" outlineLevel="0" collapsed="false">
      <c r="A2559" s="6" t="str">
        <f aca="false">IF('DATA UNIT'!$B129="","",'DATA UNIT'!$B129)</f>
        <v>KT 8418 YB</v>
      </c>
      <c r="B2559" s="6" t="str">
        <f aca="false">IF($A2559="","",INDEX(PlanningItemsList,18))</f>
        <v>Flushing Steering</v>
      </c>
      <c r="C2559" s="7"/>
      <c r="D2559" s="7"/>
    </row>
    <row r="2560" customFormat="false" ht="15" hidden="false" customHeight="false" outlineLevel="0" collapsed="false">
      <c r="A2560" s="6" t="str">
        <f aca="false">IF('DATA UNIT'!$B129="","",'DATA UNIT'!$B129)</f>
        <v>KT 8418 YB</v>
      </c>
      <c r="B2560" s="6" t="str">
        <f aca="false">IF($A2560="","",INDEX(PlanningItemsList,19))</f>
        <v>Flushing Injector</v>
      </c>
      <c r="C2560" s="7"/>
      <c r="D2560" s="7"/>
    </row>
    <row r="2561" customFormat="false" ht="15" hidden="false" customHeight="false" outlineLevel="0" collapsed="false">
      <c r="A2561" s="6" t="str">
        <f aca="false">IF('DATA UNIT'!$B129="","",'DATA UNIT'!$B129)</f>
        <v>KT 8418 YB</v>
      </c>
      <c r="B2561" s="6" t="str">
        <f aca="false">IF($A2561="","",INDEX(PlanningItemsList,20))</f>
        <v>Flushing Rem</v>
      </c>
      <c r="C2561" s="7"/>
      <c r="D2561" s="7"/>
    </row>
    <row r="2562" customFormat="false" ht="15" hidden="false" customHeight="false" outlineLevel="0" collapsed="false">
      <c r="A2562" s="6" t="str">
        <f aca="false">IF('DATA UNIT'!$B130="","",'DATA UNIT'!$B130)</f>
        <v>KT 1167 ZM</v>
      </c>
      <c r="B2562" s="6" t="str">
        <f aca="false">IF($A2562="","",INDEX(PlanningItemsList,1))</f>
        <v>PM Check / Reguler Services</v>
      </c>
      <c r="C2562" s="7"/>
      <c r="D2562" s="7"/>
    </row>
    <row r="2563" customFormat="false" ht="15" hidden="false" customHeight="false" outlineLevel="0" collapsed="false">
      <c r="A2563" s="6" t="str">
        <f aca="false">IF('DATA UNIT'!$B130="","",'DATA UNIT'!$B130)</f>
        <v>KT 1167 ZM</v>
      </c>
      <c r="B2563" s="6" t="str">
        <f aca="false">IF($A2563="","",INDEX(PlanningItemsList,2))</f>
        <v>Service A</v>
      </c>
      <c r="C2563" s="7"/>
      <c r="D2563" s="7"/>
    </row>
    <row r="2564" customFormat="false" ht="15" hidden="false" customHeight="false" outlineLevel="0" collapsed="false">
      <c r="A2564" s="6" t="str">
        <f aca="false">IF('DATA UNIT'!$B130="","",'DATA UNIT'!$B130)</f>
        <v>KT 1167 ZM</v>
      </c>
      <c r="B2564" s="6" t="str">
        <f aca="false">IF($A2564="","",INDEX(PlanningItemsList,3))</f>
        <v>Service B</v>
      </c>
      <c r="C2564" s="7"/>
      <c r="D2564" s="7"/>
    </row>
    <row r="2565" customFormat="false" ht="15" hidden="false" customHeight="false" outlineLevel="0" collapsed="false">
      <c r="A2565" s="6" t="str">
        <f aca="false">IF('DATA UNIT'!$B130="","",'DATA UNIT'!$B130)</f>
        <v>KT 1167 ZM</v>
      </c>
      <c r="B2565" s="6" t="str">
        <f aca="false">IF($A2565="","",INDEX(PlanningItemsList,4))</f>
        <v>Brake Pad</v>
      </c>
      <c r="C2565" s="7"/>
      <c r="D2565" s="7"/>
    </row>
    <row r="2566" customFormat="false" ht="15" hidden="false" customHeight="false" outlineLevel="0" collapsed="false">
      <c r="A2566" s="6" t="str">
        <f aca="false">IF('DATA UNIT'!$B130="","",'DATA UNIT'!$B130)</f>
        <v>KT 1167 ZM</v>
      </c>
      <c r="B2566" s="6" t="str">
        <f aca="false">IF($A2566="","",INDEX(PlanningItemsList,5))</f>
        <v>Brake Shoe</v>
      </c>
      <c r="C2566" s="7"/>
      <c r="D2566" s="7"/>
    </row>
    <row r="2567" customFormat="false" ht="15" hidden="false" customHeight="false" outlineLevel="0" collapsed="false">
      <c r="A2567" s="6" t="str">
        <f aca="false">IF('DATA UNIT'!$B130="","",'DATA UNIT'!$B130)</f>
        <v>KT 1167 ZM</v>
      </c>
      <c r="B2567" s="6" t="str">
        <f aca="false">IF($A2567="","",INDEX(PlanningItemsList,6))</f>
        <v>Accu</v>
      </c>
      <c r="C2567" s="7"/>
      <c r="D2567" s="7"/>
    </row>
    <row r="2568" customFormat="false" ht="15" hidden="false" customHeight="false" outlineLevel="0" collapsed="false">
      <c r="A2568" s="6" t="str">
        <f aca="false">IF('DATA UNIT'!$B130="","",'DATA UNIT'!$B130)</f>
        <v>KT 1167 ZM</v>
      </c>
      <c r="B2568" s="6" t="str">
        <f aca="false">IF($A2568="","",INDEX(PlanningItemsList,7))</f>
        <v>Kampas Kopling Set</v>
      </c>
      <c r="C2568" s="7"/>
      <c r="D2568" s="7"/>
    </row>
    <row r="2569" customFormat="false" ht="15" hidden="false" customHeight="false" outlineLevel="0" collapsed="false">
      <c r="A2569" s="6" t="str">
        <f aca="false">IF('DATA UNIT'!$B130="","",'DATA UNIT'!$B130)</f>
        <v>KT 1167 ZM</v>
      </c>
      <c r="B2569" s="6" t="str">
        <f aca="false">IF($A2569="","",INDEX(PlanningItemsList,8))</f>
        <v>Wiper Blade</v>
      </c>
      <c r="C2569" s="7"/>
      <c r="D2569" s="7"/>
    </row>
    <row r="2570" customFormat="false" ht="15" hidden="false" customHeight="false" outlineLevel="0" collapsed="false">
      <c r="A2570" s="6" t="str">
        <f aca="false">IF('DATA UNIT'!$B130="","",'DATA UNIT'!$B130)</f>
        <v>KT 1167 ZM</v>
      </c>
      <c r="B2570" s="6" t="str">
        <f aca="false">IF($A2570="","",INDEX(PlanningItemsList,9))</f>
        <v>Ban Depan</v>
      </c>
      <c r="C2570" s="7"/>
      <c r="D2570" s="7"/>
    </row>
    <row r="2571" customFormat="false" ht="15" hidden="false" customHeight="false" outlineLevel="0" collapsed="false">
      <c r="A2571" s="6" t="str">
        <f aca="false">IF('DATA UNIT'!$B130="","",'DATA UNIT'!$B130)</f>
        <v>KT 1167 ZM</v>
      </c>
      <c r="B2571" s="6" t="str">
        <f aca="false">IF($A2571="","",INDEX(PlanningItemsList,10))</f>
        <v>Ban Belakang</v>
      </c>
      <c r="C2571" s="7"/>
      <c r="D2571" s="7"/>
    </row>
    <row r="2572" customFormat="false" ht="15" hidden="false" customHeight="false" outlineLevel="0" collapsed="false">
      <c r="A2572" s="6" t="str">
        <f aca="false">IF('DATA UNIT'!$B130="","",'DATA UNIT'!$B130)</f>
        <v>KT 1167 ZM</v>
      </c>
      <c r="B2572" s="6" t="str">
        <f aca="false">IF($A2572="","",INDEX(PlanningItemsList,11))</f>
        <v>Ban Serep</v>
      </c>
      <c r="C2572" s="7"/>
      <c r="D2572" s="7"/>
    </row>
    <row r="2573" customFormat="false" ht="15" hidden="false" customHeight="false" outlineLevel="0" collapsed="false">
      <c r="A2573" s="6" t="str">
        <f aca="false">IF('DATA UNIT'!$B130="","",'DATA UNIT'!$B130)</f>
        <v>KT 1167 ZM</v>
      </c>
      <c r="B2573" s="6" t="str">
        <f aca="false">IF($A2573="","",INDEX(PlanningItemsList,12))</f>
        <v>Greasing</v>
      </c>
      <c r="C2573" s="7"/>
      <c r="D2573" s="7"/>
    </row>
    <row r="2574" customFormat="false" ht="15" hidden="false" customHeight="false" outlineLevel="0" collapsed="false">
      <c r="A2574" s="6" t="str">
        <f aca="false">IF('DATA UNIT'!$B130="","",'DATA UNIT'!$B130)</f>
        <v>KT 1167 ZM</v>
      </c>
      <c r="B2574" s="6" t="str">
        <f aca="false">IF($A2574="","",INDEX(PlanningItemsList,13))</f>
        <v>V-Belt</v>
      </c>
      <c r="C2574" s="7"/>
      <c r="D2574" s="7"/>
    </row>
    <row r="2575" customFormat="false" ht="15" hidden="false" customHeight="false" outlineLevel="0" collapsed="false">
      <c r="A2575" s="6" t="str">
        <f aca="false">IF('DATA UNIT'!$B130="","",'DATA UNIT'!$B130)</f>
        <v>KT 1167 ZM</v>
      </c>
      <c r="B2575" s="6" t="str">
        <f aca="false">IF($A2575="","",INDEX(PlanningItemsList,14))</f>
        <v>Sarung Jok</v>
      </c>
      <c r="C2575" s="7"/>
      <c r="D2575" s="7"/>
    </row>
    <row r="2576" customFormat="false" ht="15" hidden="false" customHeight="false" outlineLevel="0" collapsed="false">
      <c r="A2576" s="6" t="str">
        <f aca="false">IF('DATA UNIT'!$B130="","",'DATA UNIT'!$B130)</f>
        <v>KT 1167 ZM</v>
      </c>
      <c r="B2576" s="6" t="str">
        <f aca="false">IF($A2576="","",INDEX(PlanningItemsList,15))</f>
        <v>Karpet Karet</v>
      </c>
      <c r="C2576" s="7"/>
      <c r="D2576" s="7"/>
    </row>
    <row r="2577" customFormat="false" ht="15" hidden="false" customHeight="false" outlineLevel="0" collapsed="false">
      <c r="A2577" s="6" t="str">
        <f aca="false">IF('DATA UNIT'!$B130="","",'DATA UNIT'!$B130)</f>
        <v>KT 1167 ZM</v>
      </c>
      <c r="B2577" s="6" t="str">
        <f aca="false">IF($A2577="","",INDEX(PlanningItemsList,16))</f>
        <v>Karpet Dasar</v>
      </c>
      <c r="C2577" s="7"/>
      <c r="D2577" s="7"/>
    </row>
    <row r="2578" customFormat="false" ht="15" hidden="false" customHeight="false" outlineLevel="0" collapsed="false">
      <c r="A2578" s="6" t="str">
        <f aca="false">IF('DATA UNIT'!$B130="","",'DATA UNIT'!$B130)</f>
        <v>KT 1167 ZM</v>
      </c>
      <c r="B2578" s="6" t="str">
        <f aca="false">IF($A2578="","",INDEX(PlanningItemsList,17))</f>
        <v>Flushing Radiator</v>
      </c>
      <c r="C2578" s="7"/>
      <c r="D2578" s="7"/>
    </row>
    <row r="2579" customFormat="false" ht="15" hidden="false" customHeight="false" outlineLevel="0" collapsed="false">
      <c r="A2579" s="6" t="str">
        <f aca="false">IF('DATA UNIT'!$B130="","",'DATA UNIT'!$B130)</f>
        <v>KT 1167 ZM</v>
      </c>
      <c r="B2579" s="6" t="str">
        <f aca="false">IF($A2579="","",INDEX(PlanningItemsList,18))</f>
        <v>Flushing Steering</v>
      </c>
      <c r="C2579" s="7"/>
      <c r="D2579" s="7"/>
    </row>
    <row r="2580" customFormat="false" ht="15" hidden="false" customHeight="false" outlineLevel="0" collapsed="false">
      <c r="A2580" s="6" t="str">
        <f aca="false">IF('DATA UNIT'!$B130="","",'DATA UNIT'!$B130)</f>
        <v>KT 1167 ZM</v>
      </c>
      <c r="B2580" s="6" t="str">
        <f aca="false">IF($A2580="","",INDEX(PlanningItemsList,19))</f>
        <v>Flushing Injector</v>
      </c>
      <c r="C2580" s="7"/>
      <c r="D2580" s="7"/>
    </row>
    <row r="2581" customFormat="false" ht="15" hidden="false" customHeight="false" outlineLevel="0" collapsed="false">
      <c r="A2581" s="6" t="str">
        <f aca="false">IF('DATA UNIT'!$B130="","",'DATA UNIT'!$B130)</f>
        <v>KT 1167 ZM</v>
      </c>
      <c r="B2581" s="6" t="str">
        <f aca="false">IF($A2581="","",INDEX(PlanningItemsList,20))</f>
        <v>Flushing Rem</v>
      </c>
      <c r="C2581" s="7"/>
      <c r="D2581" s="7"/>
    </row>
    <row r="2582" customFormat="false" ht="15" hidden="false" customHeight="false" outlineLevel="0" collapsed="false">
      <c r="A2582" s="6" t="str">
        <f aca="false">IF('DATA UNIT'!$B131="","",'DATA UNIT'!$B131)</f>
        <v>B 1363 EOD</v>
      </c>
      <c r="B2582" s="6" t="str">
        <f aca="false">IF($A2582="","",INDEX(PlanningItemsList,1))</f>
        <v>PM Check / Reguler Services</v>
      </c>
      <c r="C2582" s="7"/>
      <c r="D2582" s="7"/>
    </row>
    <row r="2583" customFormat="false" ht="15" hidden="false" customHeight="false" outlineLevel="0" collapsed="false">
      <c r="A2583" s="6" t="str">
        <f aca="false">IF('DATA UNIT'!$B131="","",'DATA UNIT'!$B131)</f>
        <v>B 1363 EOD</v>
      </c>
      <c r="B2583" s="6" t="str">
        <f aca="false">IF($A2583="","",INDEX(PlanningItemsList,2))</f>
        <v>Service A</v>
      </c>
      <c r="C2583" s="7"/>
      <c r="D2583" s="7"/>
    </row>
    <row r="2584" customFormat="false" ht="15" hidden="false" customHeight="false" outlineLevel="0" collapsed="false">
      <c r="A2584" s="6" t="str">
        <f aca="false">IF('DATA UNIT'!$B131="","",'DATA UNIT'!$B131)</f>
        <v>B 1363 EOD</v>
      </c>
      <c r="B2584" s="6" t="str">
        <f aca="false">IF($A2584="","",INDEX(PlanningItemsList,3))</f>
        <v>Service B</v>
      </c>
      <c r="C2584" s="7"/>
      <c r="D2584" s="7"/>
    </row>
    <row r="2585" customFormat="false" ht="15" hidden="false" customHeight="false" outlineLevel="0" collapsed="false">
      <c r="A2585" s="6" t="str">
        <f aca="false">IF('DATA UNIT'!$B131="","",'DATA UNIT'!$B131)</f>
        <v>B 1363 EOD</v>
      </c>
      <c r="B2585" s="6" t="str">
        <f aca="false">IF($A2585="","",INDEX(PlanningItemsList,4))</f>
        <v>Brake Pad</v>
      </c>
      <c r="C2585" s="7"/>
      <c r="D2585" s="7"/>
    </row>
    <row r="2586" customFormat="false" ht="15" hidden="false" customHeight="false" outlineLevel="0" collapsed="false">
      <c r="A2586" s="6" t="str">
        <f aca="false">IF('DATA UNIT'!$B131="","",'DATA UNIT'!$B131)</f>
        <v>B 1363 EOD</v>
      </c>
      <c r="B2586" s="6" t="str">
        <f aca="false">IF($A2586="","",INDEX(PlanningItemsList,5))</f>
        <v>Brake Shoe</v>
      </c>
      <c r="C2586" s="7"/>
      <c r="D2586" s="7"/>
    </row>
    <row r="2587" customFormat="false" ht="15" hidden="false" customHeight="false" outlineLevel="0" collapsed="false">
      <c r="A2587" s="6" t="str">
        <f aca="false">IF('DATA UNIT'!$B131="","",'DATA UNIT'!$B131)</f>
        <v>B 1363 EOD</v>
      </c>
      <c r="B2587" s="6" t="str">
        <f aca="false">IF($A2587="","",INDEX(PlanningItemsList,6))</f>
        <v>Accu</v>
      </c>
      <c r="C2587" s="7"/>
      <c r="D2587" s="7"/>
    </row>
    <row r="2588" customFormat="false" ht="15" hidden="false" customHeight="false" outlineLevel="0" collapsed="false">
      <c r="A2588" s="6" t="str">
        <f aca="false">IF('DATA UNIT'!$B131="","",'DATA UNIT'!$B131)</f>
        <v>B 1363 EOD</v>
      </c>
      <c r="B2588" s="6" t="str">
        <f aca="false">IF($A2588="","",INDEX(PlanningItemsList,7))</f>
        <v>Kampas Kopling Set</v>
      </c>
      <c r="C2588" s="7"/>
      <c r="D2588" s="7"/>
    </row>
    <row r="2589" customFormat="false" ht="15" hidden="false" customHeight="false" outlineLevel="0" collapsed="false">
      <c r="A2589" s="6" t="str">
        <f aca="false">IF('DATA UNIT'!$B131="","",'DATA UNIT'!$B131)</f>
        <v>B 1363 EOD</v>
      </c>
      <c r="B2589" s="6" t="str">
        <f aca="false">IF($A2589="","",INDEX(PlanningItemsList,8))</f>
        <v>Wiper Blade</v>
      </c>
      <c r="C2589" s="7"/>
      <c r="D2589" s="7"/>
    </row>
    <row r="2590" customFormat="false" ht="15" hidden="false" customHeight="false" outlineLevel="0" collapsed="false">
      <c r="A2590" s="6" t="str">
        <f aca="false">IF('DATA UNIT'!$B131="","",'DATA UNIT'!$B131)</f>
        <v>B 1363 EOD</v>
      </c>
      <c r="B2590" s="6" t="str">
        <f aca="false">IF($A2590="","",INDEX(PlanningItemsList,9))</f>
        <v>Ban Depan</v>
      </c>
      <c r="C2590" s="7"/>
      <c r="D2590" s="7"/>
    </row>
    <row r="2591" customFormat="false" ht="15" hidden="false" customHeight="false" outlineLevel="0" collapsed="false">
      <c r="A2591" s="6" t="str">
        <f aca="false">IF('DATA UNIT'!$B131="","",'DATA UNIT'!$B131)</f>
        <v>B 1363 EOD</v>
      </c>
      <c r="B2591" s="6" t="str">
        <f aca="false">IF($A2591="","",INDEX(PlanningItemsList,10))</f>
        <v>Ban Belakang</v>
      </c>
      <c r="C2591" s="7"/>
      <c r="D2591" s="7"/>
    </row>
    <row r="2592" customFormat="false" ht="15" hidden="false" customHeight="false" outlineLevel="0" collapsed="false">
      <c r="A2592" s="6" t="str">
        <f aca="false">IF('DATA UNIT'!$B131="","",'DATA UNIT'!$B131)</f>
        <v>B 1363 EOD</v>
      </c>
      <c r="B2592" s="6" t="str">
        <f aca="false">IF($A2592="","",INDEX(PlanningItemsList,11))</f>
        <v>Ban Serep</v>
      </c>
      <c r="C2592" s="7"/>
      <c r="D2592" s="7"/>
    </row>
    <row r="2593" customFormat="false" ht="15" hidden="false" customHeight="false" outlineLevel="0" collapsed="false">
      <c r="A2593" s="6" t="str">
        <f aca="false">IF('DATA UNIT'!$B131="","",'DATA UNIT'!$B131)</f>
        <v>B 1363 EOD</v>
      </c>
      <c r="B2593" s="6" t="str">
        <f aca="false">IF($A2593="","",INDEX(PlanningItemsList,12))</f>
        <v>Greasing</v>
      </c>
      <c r="C2593" s="7"/>
      <c r="D2593" s="7"/>
    </row>
    <row r="2594" customFormat="false" ht="15" hidden="false" customHeight="false" outlineLevel="0" collapsed="false">
      <c r="A2594" s="6" t="str">
        <f aca="false">IF('DATA UNIT'!$B131="","",'DATA UNIT'!$B131)</f>
        <v>B 1363 EOD</v>
      </c>
      <c r="B2594" s="6" t="str">
        <f aca="false">IF($A2594="","",INDEX(PlanningItemsList,13))</f>
        <v>V-Belt</v>
      </c>
      <c r="C2594" s="7"/>
      <c r="D2594" s="7"/>
    </row>
    <row r="2595" customFormat="false" ht="15" hidden="false" customHeight="false" outlineLevel="0" collapsed="false">
      <c r="A2595" s="6" t="str">
        <f aca="false">IF('DATA UNIT'!$B131="","",'DATA UNIT'!$B131)</f>
        <v>B 1363 EOD</v>
      </c>
      <c r="B2595" s="6" t="str">
        <f aca="false">IF($A2595="","",INDEX(PlanningItemsList,14))</f>
        <v>Sarung Jok</v>
      </c>
      <c r="C2595" s="7"/>
      <c r="D2595" s="7"/>
    </row>
    <row r="2596" customFormat="false" ht="15" hidden="false" customHeight="false" outlineLevel="0" collapsed="false">
      <c r="A2596" s="6" t="str">
        <f aca="false">IF('DATA UNIT'!$B131="","",'DATA UNIT'!$B131)</f>
        <v>B 1363 EOD</v>
      </c>
      <c r="B2596" s="6" t="str">
        <f aca="false">IF($A2596="","",INDEX(PlanningItemsList,15))</f>
        <v>Karpet Karet</v>
      </c>
      <c r="C2596" s="7"/>
      <c r="D2596" s="7"/>
    </row>
    <row r="2597" customFormat="false" ht="15" hidden="false" customHeight="false" outlineLevel="0" collapsed="false">
      <c r="A2597" s="6" t="str">
        <f aca="false">IF('DATA UNIT'!$B131="","",'DATA UNIT'!$B131)</f>
        <v>B 1363 EOD</v>
      </c>
      <c r="B2597" s="6" t="str">
        <f aca="false">IF($A2597="","",INDEX(PlanningItemsList,16))</f>
        <v>Karpet Dasar</v>
      </c>
      <c r="C2597" s="7"/>
      <c r="D2597" s="7"/>
    </row>
    <row r="2598" customFormat="false" ht="15" hidden="false" customHeight="false" outlineLevel="0" collapsed="false">
      <c r="A2598" s="6" t="str">
        <f aca="false">IF('DATA UNIT'!$B131="","",'DATA UNIT'!$B131)</f>
        <v>B 1363 EOD</v>
      </c>
      <c r="B2598" s="6" t="str">
        <f aca="false">IF($A2598="","",INDEX(PlanningItemsList,17))</f>
        <v>Flushing Radiator</v>
      </c>
      <c r="C2598" s="7"/>
      <c r="D2598" s="7"/>
    </row>
    <row r="2599" customFormat="false" ht="15" hidden="false" customHeight="false" outlineLevel="0" collapsed="false">
      <c r="A2599" s="6" t="str">
        <f aca="false">IF('DATA UNIT'!$B131="","",'DATA UNIT'!$B131)</f>
        <v>B 1363 EOD</v>
      </c>
      <c r="B2599" s="6" t="str">
        <f aca="false">IF($A2599="","",INDEX(PlanningItemsList,18))</f>
        <v>Flushing Steering</v>
      </c>
      <c r="C2599" s="7"/>
      <c r="D2599" s="7"/>
    </row>
    <row r="2600" customFormat="false" ht="15" hidden="false" customHeight="false" outlineLevel="0" collapsed="false">
      <c r="A2600" s="6" t="str">
        <f aca="false">IF('DATA UNIT'!$B131="","",'DATA UNIT'!$B131)</f>
        <v>B 1363 EOD</v>
      </c>
      <c r="B2600" s="6" t="str">
        <f aca="false">IF($A2600="","",INDEX(PlanningItemsList,19))</f>
        <v>Flushing Injector</v>
      </c>
      <c r="C2600" s="7"/>
      <c r="D2600" s="7"/>
    </row>
    <row r="2601" customFormat="false" ht="15" hidden="false" customHeight="false" outlineLevel="0" collapsed="false">
      <c r="A2601" s="6" t="str">
        <f aca="false">IF('DATA UNIT'!$B131="","",'DATA UNIT'!$B131)</f>
        <v>B 1363 EOD</v>
      </c>
      <c r="B2601" s="6" t="str">
        <f aca="false">IF($A2601="","",INDEX(PlanningItemsList,20))</f>
        <v>Flushing Rem</v>
      </c>
      <c r="C2601" s="7"/>
      <c r="D2601" s="7"/>
    </row>
    <row r="2602" customFormat="false" ht="15" hidden="false" customHeight="false" outlineLevel="0" collapsed="false">
      <c r="A2602" s="6" t="str">
        <f aca="false">IF('DATA UNIT'!$B132="","",'DATA UNIT'!$B132)</f>
        <v>DA 1660 BH</v>
      </c>
      <c r="B2602" s="6" t="str">
        <f aca="false">IF($A2602="","",INDEX(PlanningItemsList,1))</f>
        <v>PM Check / Reguler Services</v>
      </c>
      <c r="C2602" s="7"/>
      <c r="D2602" s="7"/>
    </row>
    <row r="2603" customFormat="false" ht="15" hidden="false" customHeight="false" outlineLevel="0" collapsed="false">
      <c r="A2603" s="6" t="str">
        <f aca="false">IF('DATA UNIT'!$B132="","",'DATA UNIT'!$B132)</f>
        <v>DA 1660 BH</v>
      </c>
      <c r="B2603" s="6" t="str">
        <f aca="false">IF($A2603="","",INDEX(PlanningItemsList,2))</f>
        <v>Service A</v>
      </c>
      <c r="C2603" s="7"/>
      <c r="D2603" s="7"/>
    </row>
    <row r="2604" customFormat="false" ht="15" hidden="false" customHeight="false" outlineLevel="0" collapsed="false">
      <c r="A2604" s="6" t="str">
        <f aca="false">IF('DATA UNIT'!$B132="","",'DATA UNIT'!$B132)</f>
        <v>DA 1660 BH</v>
      </c>
      <c r="B2604" s="6" t="str">
        <f aca="false">IF($A2604="","",INDEX(PlanningItemsList,3))</f>
        <v>Service B</v>
      </c>
      <c r="C2604" s="7"/>
      <c r="D2604" s="7"/>
    </row>
    <row r="2605" customFormat="false" ht="15" hidden="false" customHeight="false" outlineLevel="0" collapsed="false">
      <c r="A2605" s="6" t="str">
        <f aca="false">IF('DATA UNIT'!$B132="","",'DATA UNIT'!$B132)</f>
        <v>DA 1660 BH</v>
      </c>
      <c r="B2605" s="6" t="str">
        <f aca="false">IF($A2605="","",INDEX(PlanningItemsList,4))</f>
        <v>Brake Pad</v>
      </c>
      <c r="C2605" s="7"/>
      <c r="D2605" s="7"/>
    </row>
    <row r="2606" customFormat="false" ht="15" hidden="false" customHeight="false" outlineLevel="0" collapsed="false">
      <c r="A2606" s="6" t="str">
        <f aca="false">IF('DATA UNIT'!$B132="","",'DATA UNIT'!$B132)</f>
        <v>DA 1660 BH</v>
      </c>
      <c r="B2606" s="6" t="str">
        <f aca="false">IF($A2606="","",INDEX(PlanningItemsList,5))</f>
        <v>Brake Shoe</v>
      </c>
      <c r="C2606" s="7"/>
      <c r="D2606" s="7"/>
    </row>
    <row r="2607" customFormat="false" ht="15" hidden="false" customHeight="false" outlineLevel="0" collapsed="false">
      <c r="A2607" s="6" t="str">
        <f aca="false">IF('DATA UNIT'!$B132="","",'DATA UNIT'!$B132)</f>
        <v>DA 1660 BH</v>
      </c>
      <c r="B2607" s="6" t="str">
        <f aca="false">IF($A2607="","",INDEX(PlanningItemsList,6))</f>
        <v>Accu</v>
      </c>
      <c r="C2607" s="7"/>
      <c r="D2607" s="7"/>
    </row>
    <row r="2608" customFormat="false" ht="15" hidden="false" customHeight="false" outlineLevel="0" collapsed="false">
      <c r="A2608" s="6" t="str">
        <f aca="false">IF('DATA UNIT'!$B132="","",'DATA UNIT'!$B132)</f>
        <v>DA 1660 BH</v>
      </c>
      <c r="B2608" s="6" t="str">
        <f aca="false">IF($A2608="","",INDEX(PlanningItemsList,7))</f>
        <v>Kampas Kopling Set</v>
      </c>
      <c r="C2608" s="7"/>
      <c r="D2608" s="7"/>
    </row>
    <row r="2609" customFormat="false" ht="15" hidden="false" customHeight="false" outlineLevel="0" collapsed="false">
      <c r="A2609" s="6" t="str">
        <f aca="false">IF('DATA UNIT'!$B132="","",'DATA UNIT'!$B132)</f>
        <v>DA 1660 BH</v>
      </c>
      <c r="B2609" s="6" t="str">
        <f aca="false">IF($A2609="","",INDEX(PlanningItemsList,8))</f>
        <v>Wiper Blade</v>
      </c>
      <c r="C2609" s="7"/>
      <c r="D2609" s="7"/>
    </row>
    <row r="2610" customFormat="false" ht="15" hidden="false" customHeight="false" outlineLevel="0" collapsed="false">
      <c r="A2610" s="6" t="str">
        <f aca="false">IF('DATA UNIT'!$B132="","",'DATA UNIT'!$B132)</f>
        <v>DA 1660 BH</v>
      </c>
      <c r="B2610" s="6" t="str">
        <f aca="false">IF($A2610="","",INDEX(PlanningItemsList,9))</f>
        <v>Ban Depan</v>
      </c>
      <c r="C2610" s="7"/>
      <c r="D2610" s="7"/>
    </row>
    <row r="2611" customFormat="false" ht="15" hidden="false" customHeight="false" outlineLevel="0" collapsed="false">
      <c r="A2611" s="6" t="str">
        <f aca="false">IF('DATA UNIT'!$B132="","",'DATA UNIT'!$B132)</f>
        <v>DA 1660 BH</v>
      </c>
      <c r="B2611" s="6" t="str">
        <f aca="false">IF($A2611="","",INDEX(PlanningItemsList,10))</f>
        <v>Ban Belakang</v>
      </c>
      <c r="C2611" s="7"/>
      <c r="D2611" s="7"/>
    </row>
    <row r="2612" customFormat="false" ht="15" hidden="false" customHeight="false" outlineLevel="0" collapsed="false">
      <c r="A2612" s="6" t="str">
        <f aca="false">IF('DATA UNIT'!$B132="","",'DATA UNIT'!$B132)</f>
        <v>DA 1660 BH</v>
      </c>
      <c r="B2612" s="6" t="str">
        <f aca="false">IF($A2612="","",INDEX(PlanningItemsList,11))</f>
        <v>Ban Serep</v>
      </c>
      <c r="C2612" s="7"/>
      <c r="D2612" s="7"/>
    </row>
    <row r="2613" customFormat="false" ht="15" hidden="false" customHeight="false" outlineLevel="0" collapsed="false">
      <c r="A2613" s="6" t="str">
        <f aca="false">IF('DATA UNIT'!$B132="","",'DATA UNIT'!$B132)</f>
        <v>DA 1660 BH</v>
      </c>
      <c r="B2613" s="6" t="str">
        <f aca="false">IF($A2613="","",INDEX(PlanningItemsList,12))</f>
        <v>Greasing</v>
      </c>
      <c r="C2613" s="7"/>
      <c r="D2613" s="7"/>
    </row>
    <row r="2614" customFormat="false" ht="15" hidden="false" customHeight="false" outlineLevel="0" collapsed="false">
      <c r="A2614" s="6" t="str">
        <f aca="false">IF('DATA UNIT'!$B132="","",'DATA UNIT'!$B132)</f>
        <v>DA 1660 BH</v>
      </c>
      <c r="B2614" s="6" t="str">
        <f aca="false">IF($A2614="","",INDEX(PlanningItemsList,13))</f>
        <v>V-Belt</v>
      </c>
      <c r="C2614" s="7"/>
      <c r="D2614" s="7"/>
    </row>
    <row r="2615" customFormat="false" ht="15" hidden="false" customHeight="false" outlineLevel="0" collapsed="false">
      <c r="A2615" s="6" t="str">
        <f aca="false">IF('DATA UNIT'!$B132="","",'DATA UNIT'!$B132)</f>
        <v>DA 1660 BH</v>
      </c>
      <c r="B2615" s="6" t="str">
        <f aca="false">IF($A2615="","",INDEX(PlanningItemsList,14))</f>
        <v>Sarung Jok</v>
      </c>
      <c r="C2615" s="7"/>
      <c r="D2615" s="7"/>
    </row>
    <row r="2616" customFormat="false" ht="15" hidden="false" customHeight="false" outlineLevel="0" collapsed="false">
      <c r="A2616" s="6" t="str">
        <f aca="false">IF('DATA UNIT'!$B132="","",'DATA UNIT'!$B132)</f>
        <v>DA 1660 BH</v>
      </c>
      <c r="B2616" s="6" t="str">
        <f aca="false">IF($A2616="","",INDEX(PlanningItemsList,15))</f>
        <v>Karpet Karet</v>
      </c>
      <c r="C2616" s="7"/>
      <c r="D2616" s="7"/>
    </row>
    <row r="2617" customFormat="false" ht="15" hidden="false" customHeight="false" outlineLevel="0" collapsed="false">
      <c r="A2617" s="6" t="str">
        <f aca="false">IF('DATA UNIT'!$B132="","",'DATA UNIT'!$B132)</f>
        <v>DA 1660 BH</v>
      </c>
      <c r="B2617" s="6" t="str">
        <f aca="false">IF($A2617="","",INDEX(PlanningItemsList,16))</f>
        <v>Karpet Dasar</v>
      </c>
      <c r="C2617" s="7"/>
      <c r="D2617" s="7"/>
    </row>
    <row r="2618" customFormat="false" ht="15" hidden="false" customHeight="false" outlineLevel="0" collapsed="false">
      <c r="A2618" s="6" t="str">
        <f aca="false">IF('DATA UNIT'!$B132="","",'DATA UNIT'!$B132)</f>
        <v>DA 1660 BH</v>
      </c>
      <c r="B2618" s="6" t="str">
        <f aca="false">IF($A2618="","",INDEX(PlanningItemsList,17))</f>
        <v>Flushing Radiator</v>
      </c>
      <c r="C2618" s="7"/>
      <c r="D2618" s="7"/>
    </row>
    <row r="2619" customFormat="false" ht="15" hidden="false" customHeight="false" outlineLevel="0" collapsed="false">
      <c r="A2619" s="6" t="str">
        <f aca="false">IF('DATA UNIT'!$B132="","",'DATA UNIT'!$B132)</f>
        <v>DA 1660 BH</v>
      </c>
      <c r="B2619" s="6" t="str">
        <f aca="false">IF($A2619="","",INDEX(PlanningItemsList,18))</f>
        <v>Flushing Steering</v>
      </c>
      <c r="C2619" s="7"/>
      <c r="D2619" s="7"/>
    </row>
    <row r="2620" customFormat="false" ht="15" hidden="false" customHeight="false" outlineLevel="0" collapsed="false">
      <c r="A2620" s="6" t="str">
        <f aca="false">IF('DATA UNIT'!$B132="","",'DATA UNIT'!$B132)</f>
        <v>DA 1660 BH</v>
      </c>
      <c r="B2620" s="6" t="str">
        <f aca="false">IF($A2620="","",INDEX(PlanningItemsList,19))</f>
        <v>Flushing Injector</v>
      </c>
      <c r="C2620" s="7"/>
      <c r="D2620" s="7"/>
    </row>
    <row r="2621" customFormat="false" ht="15" hidden="false" customHeight="false" outlineLevel="0" collapsed="false">
      <c r="A2621" s="6" t="str">
        <f aca="false">IF('DATA UNIT'!$B132="","",'DATA UNIT'!$B132)</f>
        <v>DA 1660 BH</v>
      </c>
      <c r="B2621" s="6" t="str">
        <f aca="false">IF($A2621="","",INDEX(PlanningItemsList,20))</f>
        <v>Flushing Rem</v>
      </c>
      <c r="C2621" s="7"/>
      <c r="D2621" s="7"/>
    </row>
    <row r="2622" customFormat="false" ht="15" hidden="false" customHeight="false" outlineLevel="0" collapsed="false">
      <c r="A2622" s="6" t="str">
        <f aca="false">IF('DATA UNIT'!$B133="","",'DATA UNIT'!$B133)</f>
        <v>KT 8476 LM</v>
      </c>
      <c r="B2622" s="6" t="str">
        <f aca="false">IF($A2622="","",INDEX(PlanningItemsList,1))</f>
        <v>PM Check / Reguler Services</v>
      </c>
      <c r="C2622" s="7"/>
      <c r="D2622" s="7"/>
    </row>
    <row r="2623" customFormat="false" ht="15" hidden="false" customHeight="false" outlineLevel="0" collapsed="false">
      <c r="A2623" s="6" t="str">
        <f aca="false">IF('DATA UNIT'!$B133="","",'DATA UNIT'!$B133)</f>
        <v>KT 8476 LM</v>
      </c>
      <c r="B2623" s="6" t="str">
        <f aca="false">IF($A2623="","",INDEX(PlanningItemsList,2))</f>
        <v>Service A</v>
      </c>
      <c r="C2623" s="7"/>
      <c r="D2623" s="7"/>
    </row>
    <row r="2624" customFormat="false" ht="15" hidden="false" customHeight="false" outlineLevel="0" collapsed="false">
      <c r="A2624" s="6" t="str">
        <f aca="false">IF('DATA UNIT'!$B133="","",'DATA UNIT'!$B133)</f>
        <v>KT 8476 LM</v>
      </c>
      <c r="B2624" s="6" t="str">
        <f aca="false">IF($A2624="","",INDEX(PlanningItemsList,3))</f>
        <v>Service B</v>
      </c>
      <c r="C2624" s="7"/>
      <c r="D2624" s="7"/>
    </row>
    <row r="2625" customFormat="false" ht="15" hidden="false" customHeight="false" outlineLevel="0" collapsed="false">
      <c r="A2625" s="6" t="str">
        <f aca="false">IF('DATA UNIT'!$B133="","",'DATA UNIT'!$B133)</f>
        <v>KT 8476 LM</v>
      </c>
      <c r="B2625" s="6" t="str">
        <f aca="false">IF($A2625="","",INDEX(PlanningItemsList,4))</f>
        <v>Brake Pad</v>
      </c>
      <c r="C2625" s="7"/>
      <c r="D2625" s="7"/>
    </row>
    <row r="2626" customFormat="false" ht="15" hidden="false" customHeight="false" outlineLevel="0" collapsed="false">
      <c r="A2626" s="6" t="str">
        <f aca="false">IF('DATA UNIT'!$B133="","",'DATA UNIT'!$B133)</f>
        <v>KT 8476 LM</v>
      </c>
      <c r="B2626" s="6" t="str">
        <f aca="false">IF($A2626="","",INDEX(PlanningItemsList,5))</f>
        <v>Brake Shoe</v>
      </c>
      <c r="C2626" s="7"/>
      <c r="D2626" s="7"/>
    </row>
    <row r="2627" customFormat="false" ht="15" hidden="false" customHeight="false" outlineLevel="0" collapsed="false">
      <c r="A2627" s="6" t="str">
        <f aca="false">IF('DATA UNIT'!$B133="","",'DATA UNIT'!$B133)</f>
        <v>KT 8476 LM</v>
      </c>
      <c r="B2627" s="6" t="str">
        <f aca="false">IF($A2627="","",INDEX(PlanningItemsList,6))</f>
        <v>Accu</v>
      </c>
      <c r="C2627" s="7"/>
      <c r="D2627" s="7"/>
    </row>
    <row r="2628" customFormat="false" ht="15" hidden="false" customHeight="false" outlineLevel="0" collapsed="false">
      <c r="A2628" s="6" t="str">
        <f aca="false">IF('DATA UNIT'!$B133="","",'DATA UNIT'!$B133)</f>
        <v>KT 8476 LM</v>
      </c>
      <c r="B2628" s="6" t="str">
        <f aca="false">IF($A2628="","",INDEX(PlanningItemsList,7))</f>
        <v>Kampas Kopling Set</v>
      </c>
      <c r="C2628" s="7"/>
      <c r="D2628" s="7"/>
    </row>
    <row r="2629" customFormat="false" ht="15" hidden="false" customHeight="false" outlineLevel="0" collapsed="false">
      <c r="A2629" s="6" t="str">
        <f aca="false">IF('DATA UNIT'!$B133="","",'DATA UNIT'!$B133)</f>
        <v>KT 8476 LM</v>
      </c>
      <c r="B2629" s="6" t="str">
        <f aca="false">IF($A2629="","",INDEX(PlanningItemsList,8))</f>
        <v>Wiper Blade</v>
      </c>
      <c r="C2629" s="7"/>
      <c r="D2629" s="7"/>
    </row>
    <row r="2630" customFormat="false" ht="15" hidden="false" customHeight="false" outlineLevel="0" collapsed="false">
      <c r="A2630" s="6" t="str">
        <f aca="false">IF('DATA UNIT'!$B133="","",'DATA UNIT'!$B133)</f>
        <v>KT 8476 LM</v>
      </c>
      <c r="B2630" s="6" t="str">
        <f aca="false">IF($A2630="","",INDEX(PlanningItemsList,9))</f>
        <v>Ban Depan</v>
      </c>
      <c r="C2630" s="7"/>
      <c r="D2630" s="7"/>
    </row>
    <row r="2631" customFormat="false" ht="15" hidden="false" customHeight="false" outlineLevel="0" collapsed="false">
      <c r="A2631" s="6" t="str">
        <f aca="false">IF('DATA UNIT'!$B133="","",'DATA UNIT'!$B133)</f>
        <v>KT 8476 LM</v>
      </c>
      <c r="B2631" s="6" t="str">
        <f aca="false">IF($A2631="","",INDEX(PlanningItemsList,10))</f>
        <v>Ban Belakang</v>
      </c>
      <c r="C2631" s="7"/>
      <c r="D2631" s="7"/>
    </row>
    <row r="2632" customFormat="false" ht="15" hidden="false" customHeight="false" outlineLevel="0" collapsed="false">
      <c r="A2632" s="6" t="str">
        <f aca="false">IF('DATA UNIT'!$B133="","",'DATA UNIT'!$B133)</f>
        <v>KT 8476 LM</v>
      </c>
      <c r="B2632" s="6" t="str">
        <f aca="false">IF($A2632="","",INDEX(PlanningItemsList,11))</f>
        <v>Ban Serep</v>
      </c>
      <c r="C2632" s="7"/>
      <c r="D2632" s="7"/>
    </row>
    <row r="2633" customFormat="false" ht="15" hidden="false" customHeight="false" outlineLevel="0" collapsed="false">
      <c r="A2633" s="6" t="str">
        <f aca="false">IF('DATA UNIT'!$B133="","",'DATA UNIT'!$B133)</f>
        <v>KT 8476 LM</v>
      </c>
      <c r="B2633" s="6" t="str">
        <f aca="false">IF($A2633="","",INDEX(PlanningItemsList,12))</f>
        <v>Greasing</v>
      </c>
      <c r="C2633" s="7"/>
      <c r="D2633" s="7"/>
    </row>
    <row r="2634" customFormat="false" ht="15" hidden="false" customHeight="false" outlineLevel="0" collapsed="false">
      <c r="A2634" s="6" t="str">
        <f aca="false">IF('DATA UNIT'!$B133="","",'DATA UNIT'!$B133)</f>
        <v>KT 8476 LM</v>
      </c>
      <c r="B2634" s="6" t="str">
        <f aca="false">IF($A2634="","",INDEX(PlanningItemsList,13))</f>
        <v>V-Belt</v>
      </c>
      <c r="C2634" s="7"/>
      <c r="D2634" s="7"/>
    </row>
    <row r="2635" customFormat="false" ht="15" hidden="false" customHeight="false" outlineLevel="0" collapsed="false">
      <c r="A2635" s="6" t="str">
        <f aca="false">IF('DATA UNIT'!$B133="","",'DATA UNIT'!$B133)</f>
        <v>KT 8476 LM</v>
      </c>
      <c r="B2635" s="6" t="str">
        <f aca="false">IF($A2635="","",INDEX(PlanningItemsList,14))</f>
        <v>Sarung Jok</v>
      </c>
      <c r="C2635" s="7"/>
      <c r="D2635" s="7"/>
    </row>
    <row r="2636" customFormat="false" ht="15" hidden="false" customHeight="false" outlineLevel="0" collapsed="false">
      <c r="A2636" s="6" t="str">
        <f aca="false">IF('DATA UNIT'!$B133="","",'DATA UNIT'!$B133)</f>
        <v>KT 8476 LM</v>
      </c>
      <c r="B2636" s="6" t="str">
        <f aca="false">IF($A2636="","",INDEX(PlanningItemsList,15))</f>
        <v>Karpet Karet</v>
      </c>
      <c r="C2636" s="7"/>
      <c r="D2636" s="7"/>
    </row>
    <row r="2637" customFormat="false" ht="15" hidden="false" customHeight="false" outlineLevel="0" collapsed="false">
      <c r="A2637" s="6" t="str">
        <f aca="false">IF('DATA UNIT'!$B133="","",'DATA UNIT'!$B133)</f>
        <v>KT 8476 LM</v>
      </c>
      <c r="B2637" s="6" t="str">
        <f aca="false">IF($A2637="","",INDEX(PlanningItemsList,16))</f>
        <v>Karpet Dasar</v>
      </c>
      <c r="C2637" s="7"/>
      <c r="D2637" s="7"/>
    </row>
    <row r="2638" customFormat="false" ht="15" hidden="false" customHeight="false" outlineLevel="0" collapsed="false">
      <c r="A2638" s="6" t="str">
        <f aca="false">IF('DATA UNIT'!$B133="","",'DATA UNIT'!$B133)</f>
        <v>KT 8476 LM</v>
      </c>
      <c r="B2638" s="6" t="str">
        <f aca="false">IF($A2638="","",INDEX(PlanningItemsList,17))</f>
        <v>Flushing Radiator</v>
      </c>
      <c r="C2638" s="7"/>
      <c r="D2638" s="7"/>
    </row>
    <row r="2639" customFormat="false" ht="15" hidden="false" customHeight="false" outlineLevel="0" collapsed="false">
      <c r="A2639" s="6" t="str">
        <f aca="false">IF('DATA UNIT'!$B133="","",'DATA UNIT'!$B133)</f>
        <v>KT 8476 LM</v>
      </c>
      <c r="B2639" s="6" t="str">
        <f aca="false">IF($A2639="","",INDEX(PlanningItemsList,18))</f>
        <v>Flushing Steering</v>
      </c>
      <c r="C2639" s="7"/>
      <c r="D2639" s="7"/>
    </row>
    <row r="2640" customFormat="false" ht="15" hidden="false" customHeight="false" outlineLevel="0" collapsed="false">
      <c r="A2640" s="6" t="str">
        <f aca="false">IF('DATA UNIT'!$B133="","",'DATA UNIT'!$B133)</f>
        <v>KT 8476 LM</v>
      </c>
      <c r="B2640" s="6" t="str">
        <f aca="false">IF($A2640="","",INDEX(PlanningItemsList,19))</f>
        <v>Flushing Injector</v>
      </c>
      <c r="C2640" s="7"/>
      <c r="D2640" s="7"/>
    </row>
    <row r="2641" customFormat="false" ht="15" hidden="false" customHeight="false" outlineLevel="0" collapsed="false">
      <c r="A2641" s="6" t="str">
        <f aca="false">IF('DATA UNIT'!$B133="","",'DATA UNIT'!$B133)</f>
        <v>KT 8476 LM</v>
      </c>
      <c r="B2641" s="6" t="str">
        <f aca="false">IF($A2641="","",INDEX(PlanningItemsList,20))</f>
        <v>Flushing Rem</v>
      </c>
      <c r="C2641" s="7"/>
      <c r="D2641" s="7"/>
    </row>
    <row r="2642" customFormat="false" ht="15" hidden="false" customHeight="false" outlineLevel="0" collapsed="false">
      <c r="A2642" s="6" t="str">
        <f aca="false">IF('DATA UNIT'!$B134="","",'DATA UNIT'!$B134)</f>
        <v>DA 8069 BP</v>
      </c>
      <c r="B2642" s="6" t="str">
        <f aca="false">IF($A2642="","",INDEX(PlanningItemsList,1))</f>
        <v>PM Check / Reguler Services</v>
      </c>
      <c r="C2642" s="7"/>
      <c r="D2642" s="7"/>
    </row>
    <row r="2643" customFormat="false" ht="15" hidden="false" customHeight="false" outlineLevel="0" collapsed="false">
      <c r="A2643" s="6" t="str">
        <f aca="false">IF('DATA UNIT'!$B134="","",'DATA UNIT'!$B134)</f>
        <v>DA 8069 BP</v>
      </c>
      <c r="B2643" s="6" t="str">
        <f aca="false">IF($A2643="","",INDEX(PlanningItemsList,2))</f>
        <v>Service A</v>
      </c>
      <c r="C2643" s="7"/>
      <c r="D2643" s="7"/>
    </row>
    <row r="2644" customFormat="false" ht="15" hidden="false" customHeight="false" outlineLevel="0" collapsed="false">
      <c r="A2644" s="6" t="str">
        <f aca="false">IF('DATA UNIT'!$B134="","",'DATA UNIT'!$B134)</f>
        <v>DA 8069 BP</v>
      </c>
      <c r="B2644" s="6" t="str">
        <f aca="false">IF($A2644="","",INDEX(PlanningItemsList,3))</f>
        <v>Service B</v>
      </c>
      <c r="C2644" s="7"/>
      <c r="D2644" s="7"/>
    </row>
    <row r="2645" customFormat="false" ht="15" hidden="false" customHeight="false" outlineLevel="0" collapsed="false">
      <c r="A2645" s="6" t="str">
        <f aca="false">IF('DATA UNIT'!$B134="","",'DATA UNIT'!$B134)</f>
        <v>DA 8069 BP</v>
      </c>
      <c r="B2645" s="6" t="str">
        <f aca="false">IF($A2645="","",INDEX(PlanningItemsList,4))</f>
        <v>Brake Pad</v>
      </c>
      <c r="C2645" s="7"/>
      <c r="D2645" s="7"/>
    </row>
    <row r="2646" customFormat="false" ht="15" hidden="false" customHeight="false" outlineLevel="0" collapsed="false">
      <c r="A2646" s="6" t="str">
        <f aca="false">IF('DATA UNIT'!$B134="","",'DATA UNIT'!$B134)</f>
        <v>DA 8069 BP</v>
      </c>
      <c r="B2646" s="6" t="str">
        <f aca="false">IF($A2646="","",INDEX(PlanningItemsList,5))</f>
        <v>Brake Shoe</v>
      </c>
      <c r="C2646" s="7"/>
      <c r="D2646" s="7"/>
    </row>
    <row r="2647" customFormat="false" ht="15" hidden="false" customHeight="false" outlineLevel="0" collapsed="false">
      <c r="A2647" s="6" t="str">
        <f aca="false">IF('DATA UNIT'!$B134="","",'DATA UNIT'!$B134)</f>
        <v>DA 8069 BP</v>
      </c>
      <c r="B2647" s="6" t="str">
        <f aca="false">IF($A2647="","",INDEX(PlanningItemsList,6))</f>
        <v>Accu</v>
      </c>
      <c r="C2647" s="7"/>
      <c r="D2647" s="7"/>
    </row>
    <row r="2648" customFormat="false" ht="15" hidden="false" customHeight="false" outlineLevel="0" collapsed="false">
      <c r="A2648" s="6" t="str">
        <f aca="false">IF('DATA UNIT'!$B134="","",'DATA UNIT'!$B134)</f>
        <v>DA 8069 BP</v>
      </c>
      <c r="B2648" s="6" t="str">
        <f aca="false">IF($A2648="","",INDEX(PlanningItemsList,7))</f>
        <v>Kampas Kopling Set</v>
      </c>
      <c r="C2648" s="7"/>
      <c r="D2648" s="7"/>
    </row>
    <row r="2649" customFormat="false" ht="15" hidden="false" customHeight="false" outlineLevel="0" collapsed="false">
      <c r="A2649" s="6" t="str">
        <f aca="false">IF('DATA UNIT'!$B134="","",'DATA UNIT'!$B134)</f>
        <v>DA 8069 BP</v>
      </c>
      <c r="B2649" s="6" t="str">
        <f aca="false">IF($A2649="","",INDEX(PlanningItemsList,8))</f>
        <v>Wiper Blade</v>
      </c>
      <c r="C2649" s="7"/>
      <c r="D2649" s="7"/>
    </row>
    <row r="2650" customFormat="false" ht="15" hidden="false" customHeight="false" outlineLevel="0" collapsed="false">
      <c r="A2650" s="6" t="str">
        <f aca="false">IF('DATA UNIT'!$B134="","",'DATA UNIT'!$B134)</f>
        <v>DA 8069 BP</v>
      </c>
      <c r="B2650" s="6" t="str">
        <f aca="false">IF($A2650="","",INDEX(PlanningItemsList,9))</f>
        <v>Ban Depan</v>
      </c>
      <c r="C2650" s="7"/>
      <c r="D2650" s="7"/>
    </row>
    <row r="2651" customFormat="false" ht="15" hidden="false" customHeight="false" outlineLevel="0" collapsed="false">
      <c r="A2651" s="6" t="str">
        <f aca="false">IF('DATA UNIT'!$B134="","",'DATA UNIT'!$B134)</f>
        <v>DA 8069 BP</v>
      </c>
      <c r="B2651" s="6" t="str">
        <f aca="false">IF($A2651="","",INDEX(PlanningItemsList,10))</f>
        <v>Ban Belakang</v>
      </c>
      <c r="C2651" s="7"/>
      <c r="D2651" s="7"/>
    </row>
    <row r="2652" customFormat="false" ht="15" hidden="false" customHeight="false" outlineLevel="0" collapsed="false">
      <c r="A2652" s="6" t="str">
        <f aca="false">IF('DATA UNIT'!$B134="","",'DATA UNIT'!$B134)</f>
        <v>DA 8069 BP</v>
      </c>
      <c r="B2652" s="6" t="str">
        <f aca="false">IF($A2652="","",INDEX(PlanningItemsList,11))</f>
        <v>Ban Serep</v>
      </c>
      <c r="C2652" s="7"/>
      <c r="D2652" s="7"/>
    </row>
    <row r="2653" customFormat="false" ht="15" hidden="false" customHeight="false" outlineLevel="0" collapsed="false">
      <c r="A2653" s="6" t="str">
        <f aca="false">IF('DATA UNIT'!$B134="","",'DATA UNIT'!$B134)</f>
        <v>DA 8069 BP</v>
      </c>
      <c r="B2653" s="6" t="str">
        <f aca="false">IF($A2653="","",INDEX(PlanningItemsList,12))</f>
        <v>Greasing</v>
      </c>
      <c r="C2653" s="7"/>
      <c r="D2653" s="7"/>
    </row>
    <row r="2654" customFormat="false" ht="15" hidden="false" customHeight="false" outlineLevel="0" collapsed="false">
      <c r="A2654" s="6" t="str">
        <f aca="false">IF('DATA UNIT'!$B134="","",'DATA UNIT'!$B134)</f>
        <v>DA 8069 BP</v>
      </c>
      <c r="B2654" s="6" t="str">
        <f aca="false">IF($A2654="","",INDEX(PlanningItemsList,13))</f>
        <v>V-Belt</v>
      </c>
      <c r="C2654" s="7"/>
      <c r="D2654" s="7"/>
    </row>
    <row r="2655" customFormat="false" ht="15" hidden="false" customHeight="false" outlineLevel="0" collapsed="false">
      <c r="A2655" s="6" t="str">
        <f aca="false">IF('DATA UNIT'!$B134="","",'DATA UNIT'!$B134)</f>
        <v>DA 8069 BP</v>
      </c>
      <c r="B2655" s="6" t="str">
        <f aca="false">IF($A2655="","",INDEX(PlanningItemsList,14))</f>
        <v>Sarung Jok</v>
      </c>
      <c r="C2655" s="7"/>
      <c r="D2655" s="7"/>
    </row>
    <row r="2656" customFormat="false" ht="15" hidden="false" customHeight="false" outlineLevel="0" collapsed="false">
      <c r="A2656" s="6" t="str">
        <f aca="false">IF('DATA UNIT'!$B134="","",'DATA UNIT'!$B134)</f>
        <v>DA 8069 BP</v>
      </c>
      <c r="B2656" s="6" t="str">
        <f aca="false">IF($A2656="","",INDEX(PlanningItemsList,15))</f>
        <v>Karpet Karet</v>
      </c>
      <c r="C2656" s="7"/>
      <c r="D2656" s="7"/>
    </row>
    <row r="2657" customFormat="false" ht="15" hidden="false" customHeight="false" outlineLevel="0" collapsed="false">
      <c r="A2657" s="6" t="str">
        <f aca="false">IF('DATA UNIT'!$B134="","",'DATA UNIT'!$B134)</f>
        <v>DA 8069 BP</v>
      </c>
      <c r="B2657" s="6" t="str">
        <f aca="false">IF($A2657="","",INDEX(PlanningItemsList,16))</f>
        <v>Karpet Dasar</v>
      </c>
      <c r="C2657" s="7"/>
      <c r="D2657" s="7"/>
    </row>
    <row r="2658" customFormat="false" ht="15" hidden="false" customHeight="false" outlineLevel="0" collapsed="false">
      <c r="A2658" s="6" t="str">
        <f aca="false">IF('DATA UNIT'!$B134="","",'DATA UNIT'!$B134)</f>
        <v>DA 8069 BP</v>
      </c>
      <c r="B2658" s="6" t="str">
        <f aca="false">IF($A2658="","",INDEX(PlanningItemsList,17))</f>
        <v>Flushing Radiator</v>
      </c>
      <c r="C2658" s="7"/>
      <c r="D2658" s="7"/>
    </row>
    <row r="2659" customFormat="false" ht="15" hidden="false" customHeight="false" outlineLevel="0" collapsed="false">
      <c r="A2659" s="6" t="str">
        <f aca="false">IF('DATA UNIT'!$B134="","",'DATA UNIT'!$B134)</f>
        <v>DA 8069 BP</v>
      </c>
      <c r="B2659" s="6" t="str">
        <f aca="false">IF($A2659="","",INDEX(PlanningItemsList,18))</f>
        <v>Flushing Steering</v>
      </c>
      <c r="C2659" s="7"/>
      <c r="D2659" s="7"/>
    </row>
    <row r="2660" customFormat="false" ht="15" hidden="false" customHeight="false" outlineLevel="0" collapsed="false">
      <c r="A2660" s="6" t="str">
        <f aca="false">IF('DATA UNIT'!$B134="","",'DATA UNIT'!$B134)</f>
        <v>DA 8069 BP</v>
      </c>
      <c r="B2660" s="6" t="str">
        <f aca="false">IF($A2660="","",INDEX(PlanningItemsList,19))</f>
        <v>Flushing Injector</v>
      </c>
      <c r="C2660" s="7"/>
      <c r="D2660" s="7"/>
    </row>
    <row r="2661" customFormat="false" ht="15" hidden="false" customHeight="false" outlineLevel="0" collapsed="false">
      <c r="A2661" s="6" t="str">
        <f aca="false">IF('DATA UNIT'!$B134="","",'DATA UNIT'!$B134)</f>
        <v>DA 8069 BP</v>
      </c>
      <c r="B2661" s="6" t="str">
        <f aca="false">IF($A2661="","",INDEX(PlanningItemsList,20))</f>
        <v>Flushing Rem</v>
      </c>
      <c r="C2661" s="7"/>
      <c r="D2661" s="7"/>
    </row>
    <row r="2662" customFormat="false" ht="15" hidden="false" customHeight="false" outlineLevel="0" collapsed="false">
      <c r="A2662" s="6" t="str">
        <f aca="false">IF('DATA UNIT'!$B135="","",'DATA UNIT'!$B135)</f>
        <v/>
      </c>
      <c r="B2662" s="6" t="str">
        <f aca="false">IF($A2662="","",INDEX(PlanningItemsList,1))</f>
        <v/>
      </c>
      <c r="C2662" s="7"/>
      <c r="D2662" s="7"/>
    </row>
    <row r="2663" customFormat="false" ht="15" hidden="false" customHeight="false" outlineLevel="0" collapsed="false">
      <c r="A2663" s="6" t="str">
        <f aca="false">IF('DATA UNIT'!$B135="","",'DATA UNIT'!$B135)</f>
        <v/>
      </c>
      <c r="B2663" s="6" t="str">
        <f aca="false">IF($A2663="","",INDEX(PlanningItemsList,2))</f>
        <v/>
      </c>
      <c r="C2663" s="7"/>
      <c r="D2663" s="7"/>
    </row>
    <row r="2664" customFormat="false" ht="15" hidden="false" customHeight="false" outlineLevel="0" collapsed="false">
      <c r="A2664" s="6" t="str">
        <f aca="false">IF('DATA UNIT'!$B135="","",'DATA UNIT'!$B135)</f>
        <v/>
      </c>
      <c r="B2664" s="6" t="str">
        <f aca="false">IF($A2664="","",INDEX(PlanningItemsList,3))</f>
        <v/>
      </c>
      <c r="C2664" s="7"/>
      <c r="D2664" s="7"/>
    </row>
    <row r="2665" customFormat="false" ht="15" hidden="false" customHeight="false" outlineLevel="0" collapsed="false">
      <c r="A2665" s="6" t="str">
        <f aca="false">IF('DATA UNIT'!$B135="","",'DATA UNIT'!$B135)</f>
        <v/>
      </c>
      <c r="B2665" s="6" t="str">
        <f aca="false">IF($A2665="","",INDEX(PlanningItemsList,4))</f>
        <v/>
      </c>
      <c r="C2665" s="7"/>
      <c r="D2665" s="7"/>
    </row>
    <row r="2666" customFormat="false" ht="15" hidden="false" customHeight="false" outlineLevel="0" collapsed="false">
      <c r="A2666" s="6" t="str">
        <f aca="false">IF('DATA UNIT'!$B135="","",'DATA UNIT'!$B135)</f>
        <v/>
      </c>
      <c r="B2666" s="6" t="str">
        <f aca="false">IF($A2666="","",INDEX(PlanningItemsList,5))</f>
        <v/>
      </c>
      <c r="C2666" s="7"/>
      <c r="D2666" s="7"/>
    </row>
    <row r="2667" customFormat="false" ht="15" hidden="false" customHeight="false" outlineLevel="0" collapsed="false">
      <c r="A2667" s="6" t="str">
        <f aca="false">IF('DATA UNIT'!$B135="","",'DATA UNIT'!$B135)</f>
        <v/>
      </c>
      <c r="B2667" s="6" t="str">
        <f aca="false">IF($A2667="","",INDEX(PlanningItemsList,6))</f>
        <v/>
      </c>
      <c r="C2667" s="7"/>
      <c r="D2667" s="7"/>
    </row>
    <row r="2668" customFormat="false" ht="15" hidden="false" customHeight="false" outlineLevel="0" collapsed="false">
      <c r="A2668" s="6" t="str">
        <f aca="false">IF('DATA UNIT'!$B135="","",'DATA UNIT'!$B135)</f>
        <v/>
      </c>
      <c r="B2668" s="6" t="str">
        <f aca="false">IF($A2668="","",INDEX(PlanningItemsList,7))</f>
        <v/>
      </c>
      <c r="C2668" s="7"/>
      <c r="D2668" s="7"/>
    </row>
    <row r="2669" customFormat="false" ht="15" hidden="false" customHeight="false" outlineLevel="0" collapsed="false">
      <c r="A2669" s="6" t="str">
        <f aca="false">IF('DATA UNIT'!$B135="","",'DATA UNIT'!$B135)</f>
        <v/>
      </c>
      <c r="B2669" s="6" t="str">
        <f aca="false">IF($A2669="","",INDEX(PlanningItemsList,8))</f>
        <v/>
      </c>
      <c r="C2669" s="7"/>
      <c r="D2669" s="7"/>
    </row>
    <row r="2670" customFormat="false" ht="15" hidden="false" customHeight="false" outlineLevel="0" collapsed="false">
      <c r="A2670" s="6" t="str">
        <f aca="false">IF('DATA UNIT'!$B135="","",'DATA UNIT'!$B135)</f>
        <v/>
      </c>
      <c r="B2670" s="6" t="str">
        <f aca="false">IF($A2670="","",INDEX(PlanningItemsList,9))</f>
        <v/>
      </c>
      <c r="C2670" s="7"/>
      <c r="D2670" s="7"/>
    </row>
    <row r="2671" customFormat="false" ht="15" hidden="false" customHeight="false" outlineLevel="0" collapsed="false">
      <c r="A2671" s="6" t="str">
        <f aca="false">IF('DATA UNIT'!$B135="","",'DATA UNIT'!$B135)</f>
        <v/>
      </c>
      <c r="B2671" s="6" t="str">
        <f aca="false">IF($A2671="","",INDEX(PlanningItemsList,10))</f>
        <v/>
      </c>
      <c r="C2671" s="7"/>
      <c r="D2671" s="7"/>
    </row>
    <row r="2672" customFormat="false" ht="15" hidden="false" customHeight="false" outlineLevel="0" collapsed="false">
      <c r="A2672" s="6" t="str">
        <f aca="false">IF('DATA UNIT'!$B135="","",'DATA UNIT'!$B135)</f>
        <v/>
      </c>
      <c r="B2672" s="6" t="str">
        <f aca="false">IF($A2672="","",INDEX(PlanningItemsList,11))</f>
        <v/>
      </c>
      <c r="C2672" s="7"/>
      <c r="D2672" s="7"/>
    </row>
    <row r="2673" customFormat="false" ht="15" hidden="false" customHeight="false" outlineLevel="0" collapsed="false">
      <c r="A2673" s="6" t="str">
        <f aca="false">IF('DATA UNIT'!$B135="","",'DATA UNIT'!$B135)</f>
        <v/>
      </c>
      <c r="B2673" s="6" t="str">
        <f aca="false">IF($A2673="","",INDEX(PlanningItemsList,12))</f>
        <v/>
      </c>
      <c r="C2673" s="7"/>
      <c r="D2673" s="7"/>
    </row>
    <row r="2674" customFormat="false" ht="15" hidden="false" customHeight="false" outlineLevel="0" collapsed="false">
      <c r="A2674" s="6" t="str">
        <f aca="false">IF('DATA UNIT'!$B135="","",'DATA UNIT'!$B135)</f>
        <v/>
      </c>
      <c r="B2674" s="6" t="str">
        <f aca="false">IF($A2674="","",INDEX(PlanningItemsList,13))</f>
        <v/>
      </c>
      <c r="C2674" s="7"/>
      <c r="D2674" s="7"/>
    </row>
    <row r="2675" customFormat="false" ht="15" hidden="false" customHeight="false" outlineLevel="0" collapsed="false">
      <c r="A2675" s="6" t="str">
        <f aca="false">IF('DATA UNIT'!$B135="","",'DATA UNIT'!$B135)</f>
        <v/>
      </c>
      <c r="B2675" s="6" t="str">
        <f aca="false">IF($A2675="","",INDEX(PlanningItemsList,14))</f>
        <v/>
      </c>
      <c r="C2675" s="7"/>
      <c r="D2675" s="7"/>
    </row>
    <row r="2676" customFormat="false" ht="15" hidden="false" customHeight="false" outlineLevel="0" collapsed="false">
      <c r="A2676" s="6" t="str">
        <f aca="false">IF('DATA UNIT'!$B135="","",'DATA UNIT'!$B135)</f>
        <v/>
      </c>
      <c r="B2676" s="6" t="str">
        <f aca="false">IF($A2676="","",INDEX(PlanningItemsList,15))</f>
        <v/>
      </c>
      <c r="C2676" s="7"/>
      <c r="D2676" s="7"/>
    </row>
    <row r="2677" customFormat="false" ht="15" hidden="false" customHeight="false" outlineLevel="0" collapsed="false">
      <c r="A2677" s="6" t="str">
        <f aca="false">IF('DATA UNIT'!$B135="","",'DATA UNIT'!$B135)</f>
        <v/>
      </c>
      <c r="B2677" s="6" t="str">
        <f aca="false">IF($A2677="","",INDEX(PlanningItemsList,16))</f>
        <v/>
      </c>
      <c r="C2677" s="7"/>
      <c r="D2677" s="7"/>
    </row>
    <row r="2678" customFormat="false" ht="15" hidden="false" customHeight="false" outlineLevel="0" collapsed="false">
      <c r="A2678" s="6" t="str">
        <f aca="false">IF('DATA UNIT'!$B135="","",'DATA UNIT'!$B135)</f>
        <v/>
      </c>
      <c r="B2678" s="6" t="str">
        <f aca="false">IF($A2678="","",INDEX(PlanningItemsList,17))</f>
        <v/>
      </c>
      <c r="C2678" s="7"/>
      <c r="D2678" s="7"/>
    </row>
    <row r="2679" customFormat="false" ht="15" hidden="false" customHeight="false" outlineLevel="0" collapsed="false">
      <c r="A2679" s="6" t="str">
        <f aca="false">IF('DATA UNIT'!$B135="","",'DATA UNIT'!$B135)</f>
        <v/>
      </c>
      <c r="B2679" s="6" t="str">
        <f aca="false">IF($A2679="","",INDEX(PlanningItemsList,18))</f>
        <v/>
      </c>
      <c r="C2679" s="7"/>
      <c r="D2679" s="7"/>
    </row>
    <row r="2680" customFormat="false" ht="15" hidden="false" customHeight="false" outlineLevel="0" collapsed="false">
      <c r="A2680" s="6" t="str">
        <f aca="false">IF('DATA UNIT'!$B135="","",'DATA UNIT'!$B135)</f>
        <v/>
      </c>
      <c r="B2680" s="6" t="str">
        <f aca="false">IF($A2680="","",INDEX(PlanningItemsList,19))</f>
        <v/>
      </c>
      <c r="C2680" s="7"/>
      <c r="D2680" s="7"/>
    </row>
    <row r="2681" customFormat="false" ht="15" hidden="false" customHeight="false" outlineLevel="0" collapsed="false">
      <c r="A2681" s="6" t="str">
        <f aca="false">IF('DATA UNIT'!$B135="","",'DATA UNIT'!$B135)</f>
        <v/>
      </c>
      <c r="B2681" s="6" t="str">
        <f aca="false">IF($A2681="","",INDEX(PlanningItemsList,20))</f>
        <v/>
      </c>
      <c r="C2681" s="7"/>
      <c r="D2681" s="7"/>
    </row>
    <row r="2682" customFormat="false" ht="15" hidden="false" customHeight="false" outlineLevel="0" collapsed="false">
      <c r="A2682" s="6" t="str">
        <f aca="false">IF('DATA UNIT'!$B136="","",'DATA UNIT'!$B136)</f>
        <v/>
      </c>
      <c r="B2682" s="6" t="str">
        <f aca="false">IF($A2682="","",INDEX(PlanningItemsList,1))</f>
        <v/>
      </c>
      <c r="C2682" s="7"/>
      <c r="D2682" s="7"/>
    </row>
    <row r="2683" customFormat="false" ht="15" hidden="false" customHeight="false" outlineLevel="0" collapsed="false">
      <c r="A2683" s="6" t="str">
        <f aca="false">IF('DATA UNIT'!$B136="","",'DATA UNIT'!$B136)</f>
        <v/>
      </c>
      <c r="B2683" s="6" t="str">
        <f aca="false">IF($A2683="","",INDEX(PlanningItemsList,2))</f>
        <v/>
      </c>
      <c r="C2683" s="7"/>
      <c r="D2683" s="7"/>
    </row>
    <row r="2684" customFormat="false" ht="15" hidden="false" customHeight="false" outlineLevel="0" collapsed="false">
      <c r="A2684" s="6" t="str">
        <f aca="false">IF('DATA UNIT'!$B136="","",'DATA UNIT'!$B136)</f>
        <v/>
      </c>
      <c r="B2684" s="6" t="str">
        <f aca="false">IF($A2684="","",INDEX(PlanningItemsList,3))</f>
        <v/>
      </c>
      <c r="C2684" s="7"/>
      <c r="D2684" s="7"/>
    </row>
    <row r="2685" customFormat="false" ht="15" hidden="false" customHeight="false" outlineLevel="0" collapsed="false">
      <c r="A2685" s="6" t="str">
        <f aca="false">IF('DATA UNIT'!$B136="","",'DATA UNIT'!$B136)</f>
        <v/>
      </c>
      <c r="B2685" s="6" t="str">
        <f aca="false">IF($A2685="","",INDEX(PlanningItemsList,4))</f>
        <v/>
      </c>
      <c r="C2685" s="7"/>
      <c r="D2685" s="7"/>
    </row>
    <row r="2686" customFormat="false" ht="15" hidden="false" customHeight="false" outlineLevel="0" collapsed="false">
      <c r="A2686" s="6" t="str">
        <f aca="false">IF('DATA UNIT'!$B136="","",'DATA UNIT'!$B136)</f>
        <v/>
      </c>
      <c r="B2686" s="6" t="str">
        <f aca="false">IF($A2686="","",INDEX(PlanningItemsList,5))</f>
        <v/>
      </c>
      <c r="C2686" s="7"/>
      <c r="D2686" s="7"/>
    </row>
    <row r="2687" customFormat="false" ht="15" hidden="false" customHeight="false" outlineLevel="0" collapsed="false">
      <c r="A2687" s="6" t="str">
        <f aca="false">IF('DATA UNIT'!$B136="","",'DATA UNIT'!$B136)</f>
        <v/>
      </c>
      <c r="B2687" s="6" t="str">
        <f aca="false">IF($A2687="","",INDEX(PlanningItemsList,6))</f>
        <v/>
      </c>
      <c r="C2687" s="7"/>
      <c r="D2687" s="7"/>
    </row>
    <row r="2688" customFormat="false" ht="15" hidden="false" customHeight="false" outlineLevel="0" collapsed="false">
      <c r="A2688" s="6" t="str">
        <f aca="false">IF('DATA UNIT'!$B136="","",'DATA UNIT'!$B136)</f>
        <v/>
      </c>
      <c r="B2688" s="6" t="str">
        <f aca="false">IF($A2688="","",INDEX(PlanningItemsList,7))</f>
        <v/>
      </c>
      <c r="C2688" s="7"/>
      <c r="D2688" s="7"/>
    </row>
    <row r="2689" customFormat="false" ht="15" hidden="false" customHeight="false" outlineLevel="0" collapsed="false">
      <c r="A2689" s="6" t="str">
        <f aca="false">IF('DATA UNIT'!$B136="","",'DATA UNIT'!$B136)</f>
        <v/>
      </c>
      <c r="B2689" s="6" t="str">
        <f aca="false">IF($A2689="","",INDEX(PlanningItemsList,8))</f>
        <v/>
      </c>
      <c r="C2689" s="7"/>
      <c r="D2689" s="7"/>
    </row>
    <row r="2690" customFormat="false" ht="15" hidden="false" customHeight="false" outlineLevel="0" collapsed="false">
      <c r="A2690" s="6" t="str">
        <f aca="false">IF('DATA UNIT'!$B136="","",'DATA UNIT'!$B136)</f>
        <v/>
      </c>
      <c r="B2690" s="6" t="str">
        <f aca="false">IF($A2690="","",INDEX(PlanningItemsList,9))</f>
        <v/>
      </c>
      <c r="C2690" s="7"/>
      <c r="D2690" s="7"/>
    </row>
    <row r="2691" customFormat="false" ht="15" hidden="false" customHeight="false" outlineLevel="0" collapsed="false">
      <c r="A2691" s="6" t="str">
        <f aca="false">IF('DATA UNIT'!$B136="","",'DATA UNIT'!$B136)</f>
        <v/>
      </c>
      <c r="B2691" s="6" t="str">
        <f aca="false">IF($A2691="","",INDEX(PlanningItemsList,10))</f>
        <v/>
      </c>
      <c r="C2691" s="7"/>
      <c r="D2691" s="7"/>
    </row>
    <row r="2692" customFormat="false" ht="15" hidden="false" customHeight="false" outlineLevel="0" collapsed="false">
      <c r="A2692" s="6" t="str">
        <f aca="false">IF('DATA UNIT'!$B136="","",'DATA UNIT'!$B136)</f>
        <v/>
      </c>
      <c r="B2692" s="6" t="str">
        <f aca="false">IF($A2692="","",INDEX(PlanningItemsList,11))</f>
        <v/>
      </c>
      <c r="C2692" s="7"/>
      <c r="D2692" s="7"/>
    </row>
    <row r="2693" customFormat="false" ht="15" hidden="false" customHeight="false" outlineLevel="0" collapsed="false">
      <c r="A2693" s="6" t="str">
        <f aca="false">IF('DATA UNIT'!$B136="","",'DATA UNIT'!$B136)</f>
        <v/>
      </c>
      <c r="B2693" s="6" t="str">
        <f aca="false">IF($A2693="","",INDEX(PlanningItemsList,12))</f>
        <v/>
      </c>
      <c r="C2693" s="7"/>
      <c r="D2693" s="7"/>
    </row>
    <row r="2694" customFormat="false" ht="15" hidden="false" customHeight="false" outlineLevel="0" collapsed="false">
      <c r="A2694" s="6" t="str">
        <f aca="false">IF('DATA UNIT'!$B136="","",'DATA UNIT'!$B136)</f>
        <v/>
      </c>
      <c r="B2694" s="6" t="str">
        <f aca="false">IF($A2694="","",INDEX(PlanningItemsList,13))</f>
        <v/>
      </c>
      <c r="C2694" s="7"/>
      <c r="D2694" s="7"/>
    </row>
    <row r="2695" customFormat="false" ht="15" hidden="false" customHeight="false" outlineLevel="0" collapsed="false">
      <c r="A2695" s="6" t="str">
        <f aca="false">IF('DATA UNIT'!$B136="","",'DATA UNIT'!$B136)</f>
        <v/>
      </c>
      <c r="B2695" s="6" t="str">
        <f aca="false">IF($A2695="","",INDEX(PlanningItemsList,14))</f>
        <v/>
      </c>
      <c r="C2695" s="7"/>
      <c r="D2695" s="7"/>
    </row>
    <row r="2696" customFormat="false" ht="15" hidden="false" customHeight="false" outlineLevel="0" collapsed="false">
      <c r="A2696" s="6" t="str">
        <f aca="false">IF('DATA UNIT'!$B136="","",'DATA UNIT'!$B136)</f>
        <v/>
      </c>
      <c r="B2696" s="6" t="str">
        <f aca="false">IF($A2696="","",INDEX(PlanningItemsList,15))</f>
        <v/>
      </c>
      <c r="C2696" s="7"/>
      <c r="D2696" s="7"/>
    </row>
    <row r="2697" customFormat="false" ht="15" hidden="false" customHeight="false" outlineLevel="0" collapsed="false">
      <c r="A2697" s="6" t="str">
        <f aca="false">IF('DATA UNIT'!$B136="","",'DATA UNIT'!$B136)</f>
        <v/>
      </c>
      <c r="B2697" s="6" t="str">
        <f aca="false">IF($A2697="","",INDEX(PlanningItemsList,16))</f>
        <v/>
      </c>
      <c r="C2697" s="7"/>
      <c r="D2697" s="7"/>
    </row>
    <row r="2698" customFormat="false" ht="15" hidden="false" customHeight="false" outlineLevel="0" collapsed="false">
      <c r="A2698" s="6" t="str">
        <f aca="false">IF('DATA UNIT'!$B136="","",'DATA UNIT'!$B136)</f>
        <v/>
      </c>
      <c r="B2698" s="6" t="str">
        <f aca="false">IF($A2698="","",INDEX(PlanningItemsList,17))</f>
        <v/>
      </c>
      <c r="C2698" s="7"/>
      <c r="D2698" s="7"/>
    </row>
    <row r="2699" customFormat="false" ht="15" hidden="false" customHeight="false" outlineLevel="0" collapsed="false">
      <c r="A2699" s="6" t="str">
        <f aca="false">IF('DATA UNIT'!$B136="","",'DATA UNIT'!$B136)</f>
        <v/>
      </c>
      <c r="B2699" s="6" t="str">
        <f aca="false">IF($A2699="","",INDEX(PlanningItemsList,18))</f>
        <v/>
      </c>
      <c r="C2699" s="7"/>
      <c r="D2699" s="7"/>
    </row>
    <row r="2700" customFormat="false" ht="15" hidden="false" customHeight="false" outlineLevel="0" collapsed="false">
      <c r="A2700" s="6" t="str">
        <f aca="false">IF('DATA UNIT'!$B136="","",'DATA UNIT'!$B136)</f>
        <v/>
      </c>
      <c r="B2700" s="6" t="str">
        <f aca="false">IF($A2700="","",INDEX(PlanningItemsList,19))</f>
        <v/>
      </c>
      <c r="C2700" s="7"/>
      <c r="D2700" s="7"/>
    </row>
    <row r="2701" customFormat="false" ht="15" hidden="false" customHeight="false" outlineLevel="0" collapsed="false">
      <c r="A2701" s="6" t="str">
        <f aca="false">IF('DATA UNIT'!$B136="","",'DATA UNIT'!$B136)</f>
        <v/>
      </c>
      <c r="B2701" s="6" t="str">
        <f aca="false">IF($A2701="","",INDEX(PlanningItemsList,20))</f>
        <v/>
      </c>
      <c r="C2701" s="7"/>
      <c r="D2701" s="7"/>
    </row>
    <row r="2702" customFormat="false" ht="15" hidden="false" customHeight="false" outlineLevel="0" collapsed="false">
      <c r="A2702" s="6" t="str">
        <f aca="false">IF('DATA UNIT'!$B137="","",'DATA UNIT'!$B137)</f>
        <v/>
      </c>
      <c r="B2702" s="6" t="str">
        <f aca="false">IF($A2702="","",INDEX(PlanningItemsList,1))</f>
        <v/>
      </c>
      <c r="C2702" s="7"/>
      <c r="D2702" s="7"/>
    </row>
    <row r="2703" customFormat="false" ht="15" hidden="false" customHeight="false" outlineLevel="0" collapsed="false">
      <c r="A2703" s="6" t="str">
        <f aca="false">IF('DATA UNIT'!$B137="","",'DATA UNIT'!$B137)</f>
        <v/>
      </c>
      <c r="B2703" s="6" t="str">
        <f aca="false">IF($A2703="","",INDEX(PlanningItemsList,2))</f>
        <v/>
      </c>
      <c r="C2703" s="7"/>
      <c r="D2703" s="7"/>
    </row>
    <row r="2704" customFormat="false" ht="15" hidden="false" customHeight="false" outlineLevel="0" collapsed="false">
      <c r="A2704" s="6" t="str">
        <f aca="false">IF('DATA UNIT'!$B137="","",'DATA UNIT'!$B137)</f>
        <v/>
      </c>
      <c r="B2704" s="6" t="str">
        <f aca="false">IF($A2704="","",INDEX(PlanningItemsList,3))</f>
        <v/>
      </c>
      <c r="C2704" s="7"/>
      <c r="D2704" s="7"/>
    </row>
    <row r="2705" customFormat="false" ht="15" hidden="false" customHeight="false" outlineLevel="0" collapsed="false">
      <c r="A2705" s="6" t="str">
        <f aca="false">IF('DATA UNIT'!$B137="","",'DATA UNIT'!$B137)</f>
        <v/>
      </c>
      <c r="B2705" s="6" t="str">
        <f aca="false">IF($A2705="","",INDEX(PlanningItemsList,4))</f>
        <v/>
      </c>
      <c r="C2705" s="7"/>
      <c r="D2705" s="7"/>
    </row>
    <row r="2706" customFormat="false" ht="15" hidden="false" customHeight="false" outlineLevel="0" collapsed="false">
      <c r="A2706" s="6" t="str">
        <f aca="false">IF('DATA UNIT'!$B137="","",'DATA UNIT'!$B137)</f>
        <v/>
      </c>
      <c r="B2706" s="6" t="str">
        <f aca="false">IF($A2706="","",INDEX(PlanningItemsList,5))</f>
        <v/>
      </c>
      <c r="C2706" s="7"/>
      <c r="D2706" s="7"/>
    </row>
    <row r="2707" customFormat="false" ht="15" hidden="false" customHeight="false" outlineLevel="0" collapsed="false">
      <c r="A2707" s="6" t="str">
        <f aca="false">IF('DATA UNIT'!$B137="","",'DATA UNIT'!$B137)</f>
        <v/>
      </c>
      <c r="B2707" s="6" t="str">
        <f aca="false">IF($A2707="","",INDEX(PlanningItemsList,6))</f>
        <v/>
      </c>
      <c r="C2707" s="7"/>
      <c r="D2707" s="7"/>
    </row>
    <row r="2708" customFormat="false" ht="15" hidden="false" customHeight="false" outlineLevel="0" collapsed="false">
      <c r="A2708" s="6" t="str">
        <f aca="false">IF('DATA UNIT'!$B137="","",'DATA UNIT'!$B137)</f>
        <v/>
      </c>
      <c r="B2708" s="6" t="str">
        <f aca="false">IF($A2708="","",INDEX(PlanningItemsList,7))</f>
        <v/>
      </c>
      <c r="C2708" s="7"/>
      <c r="D2708" s="7"/>
    </row>
    <row r="2709" customFormat="false" ht="15" hidden="false" customHeight="false" outlineLevel="0" collapsed="false">
      <c r="A2709" s="6" t="str">
        <f aca="false">IF('DATA UNIT'!$B137="","",'DATA UNIT'!$B137)</f>
        <v/>
      </c>
      <c r="B2709" s="6" t="str">
        <f aca="false">IF($A2709="","",INDEX(PlanningItemsList,8))</f>
        <v/>
      </c>
      <c r="C2709" s="7"/>
      <c r="D2709" s="7"/>
    </row>
    <row r="2710" customFormat="false" ht="15" hidden="false" customHeight="false" outlineLevel="0" collapsed="false">
      <c r="A2710" s="6" t="str">
        <f aca="false">IF('DATA UNIT'!$B137="","",'DATA UNIT'!$B137)</f>
        <v/>
      </c>
      <c r="B2710" s="6" t="str">
        <f aca="false">IF($A2710="","",INDEX(PlanningItemsList,9))</f>
        <v/>
      </c>
      <c r="C2710" s="7"/>
      <c r="D2710" s="7"/>
    </row>
    <row r="2711" customFormat="false" ht="15" hidden="false" customHeight="false" outlineLevel="0" collapsed="false">
      <c r="A2711" s="6" t="str">
        <f aca="false">IF('DATA UNIT'!$B137="","",'DATA UNIT'!$B137)</f>
        <v/>
      </c>
      <c r="B2711" s="6" t="str">
        <f aca="false">IF($A2711="","",INDEX(PlanningItemsList,10))</f>
        <v/>
      </c>
      <c r="C2711" s="7"/>
      <c r="D2711" s="7"/>
    </row>
    <row r="2712" customFormat="false" ht="15" hidden="false" customHeight="false" outlineLevel="0" collapsed="false">
      <c r="A2712" s="6" t="str">
        <f aca="false">IF('DATA UNIT'!$B137="","",'DATA UNIT'!$B137)</f>
        <v/>
      </c>
      <c r="B2712" s="6" t="str">
        <f aca="false">IF($A2712="","",INDEX(PlanningItemsList,11))</f>
        <v/>
      </c>
      <c r="C2712" s="7"/>
      <c r="D2712" s="7"/>
    </row>
    <row r="2713" customFormat="false" ht="15" hidden="false" customHeight="false" outlineLevel="0" collapsed="false">
      <c r="A2713" s="6" t="str">
        <f aca="false">IF('DATA UNIT'!$B137="","",'DATA UNIT'!$B137)</f>
        <v/>
      </c>
      <c r="B2713" s="6" t="str">
        <f aca="false">IF($A2713="","",INDEX(PlanningItemsList,12))</f>
        <v/>
      </c>
      <c r="C2713" s="7"/>
      <c r="D2713" s="7"/>
    </row>
    <row r="2714" customFormat="false" ht="15" hidden="false" customHeight="false" outlineLevel="0" collapsed="false">
      <c r="A2714" s="6" t="str">
        <f aca="false">IF('DATA UNIT'!$B137="","",'DATA UNIT'!$B137)</f>
        <v/>
      </c>
      <c r="B2714" s="6" t="str">
        <f aca="false">IF($A2714="","",INDEX(PlanningItemsList,13))</f>
        <v/>
      </c>
      <c r="C2714" s="7"/>
      <c r="D2714" s="7"/>
    </row>
    <row r="2715" customFormat="false" ht="15" hidden="false" customHeight="false" outlineLevel="0" collapsed="false">
      <c r="A2715" s="6" t="str">
        <f aca="false">IF('DATA UNIT'!$B137="","",'DATA UNIT'!$B137)</f>
        <v/>
      </c>
      <c r="B2715" s="6" t="str">
        <f aca="false">IF($A2715="","",INDEX(PlanningItemsList,14))</f>
        <v/>
      </c>
      <c r="C2715" s="7"/>
      <c r="D2715" s="7"/>
    </row>
    <row r="2716" customFormat="false" ht="15" hidden="false" customHeight="false" outlineLevel="0" collapsed="false">
      <c r="A2716" s="6" t="str">
        <f aca="false">IF('DATA UNIT'!$B137="","",'DATA UNIT'!$B137)</f>
        <v/>
      </c>
      <c r="B2716" s="6" t="str">
        <f aca="false">IF($A2716="","",INDEX(PlanningItemsList,15))</f>
        <v/>
      </c>
      <c r="C2716" s="7"/>
      <c r="D2716" s="7"/>
    </row>
    <row r="2717" customFormat="false" ht="15" hidden="false" customHeight="false" outlineLevel="0" collapsed="false">
      <c r="A2717" s="6" t="str">
        <f aca="false">IF('DATA UNIT'!$B137="","",'DATA UNIT'!$B137)</f>
        <v/>
      </c>
      <c r="B2717" s="6" t="str">
        <f aca="false">IF($A2717="","",INDEX(PlanningItemsList,16))</f>
        <v/>
      </c>
      <c r="C2717" s="7"/>
      <c r="D2717" s="7"/>
    </row>
    <row r="2718" customFormat="false" ht="15" hidden="false" customHeight="false" outlineLevel="0" collapsed="false">
      <c r="A2718" s="6" t="str">
        <f aca="false">IF('DATA UNIT'!$B137="","",'DATA UNIT'!$B137)</f>
        <v/>
      </c>
      <c r="B2718" s="6" t="str">
        <f aca="false">IF($A2718="","",INDEX(PlanningItemsList,17))</f>
        <v/>
      </c>
      <c r="C2718" s="7"/>
      <c r="D2718" s="7"/>
    </row>
    <row r="2719" customFormat="false" ht="15" hidden="false" customHeight="false" outlineLevel="0" collapsed="false">
      <c r="A2719" s="6" t="str">
        <f aca="false">IF('DATA UNIT'!$B137="","",'DATA UNIT'!$B137)</f>
        <v/>
      </c>
      <c r="B2719" s="6" t="str">
        <f aca="false">IF($A2719="","",INDEX(PlanningItemsList,18))</f>
        <v/>
      </c>
      <c r="C2719" s="7"/>
      <c r="D2719" s="7"/>
    </row>
    <row r="2720" customFormat="false" ht="15" hidden="false" customHeight="false" outlineLevel="0" collapsed="false">
      <c r="A2720" s="6" t="str">
        <f aca="false">IF('DATA UNIT'!$B137="","",'DATA UNIT'!$B137)</f>
        <v/>
      </c>
      <c r="B2720" s="6" t="str">
        <f aca="false">IF($A2720="","",INDEX(PlanningItemsList,19))</f>
        <v/>
      </c>
      <c r="C2720" s="7"/>
      <c r="D2720" s="7"/>
    </row>
    <row r="2721" customFormat="false" ht="15" hidden="false" customHeight="false" outlineLevel="0" collapsed="false">
      <c r="A2721" s="6" t="str">
        <f aca="false">IF('DATA UNIT'!$B137="","",'DATA UNIT'!$B137)</f>
        <v/>
      </c>
      <c r="B2721" s="6" t="str">
        <f aca="false">IF($A2721="","",INDEX(PlanningItemsList,20))</f>
        <v/>
      </c>
      <c r="C2721" s="7"/>
      <c r="D2721" s="7"/>
    </row>
    <row r="2722" customFormat="false" ht="15" hidden="false" customHeight="false" outlineLevel="0" collapsed="false">
      <c r="A2722" s="6" t="str">
        <f aca="false">IF('DATA UNIT'!$B138="","",'DATA UNIT'!$B138)</f>
        <v/>
      </c>
      <c r="B2722" s="6" t="str">
        <f aca="false">IF($A2722="","",INDEX(PlanningItemsList,1))</f>
        <v/>
      </c>
      <c r="C2722" s="7"/>
      <c r="D2722" s="7"/>
    </row>
    <row r="2723" customFormat="false" ht="15" hidden="false" customHeight="false" outlineLevel="0" collapsed="false">
      <c r="A2723" s="6" t="str">
        <f aca="false">IF('DATA UNIT'!$B138="","",'DATA UNIT'!$B138)</f>
        <v/>
      </c>
      <c r="B2723" s="6" t="str">
        <f aca="false">IF($A2723="","",INDEX(PlanningItemsList,2))</f>
        <v/>
      </c>
      <c r="C2723" s="7"/>
      <c r="D2723" s="7"/>
    </row>
    <row r="2724" customFormat="false" ht="15" hidden="false" customHeight="false" outlineLevel="0" collapsed="false">
      <c r="A2724" s="6" t="str">
        <f aca="false">IF('DATA UNIT'!$B138="","",'DATA UNIT'!$B138)</f>
        <v/>
      </c>
      <c r="B2724" s="6" t="str">
        <f aca="false">IF($A2724="","",INDEX(PlanningItemsList,3))</f>
        <v/>
      </c>
      <c r="C2724" s="7"/>
      <c r="D2724" s="7"/>
    </row>
    <row r="2725" customFormat="false" ht="15" hidden="false" customHeight="false" outlineLevel="0" collapsed="false">
      <c r="A2725" s="6" t="str">
        <f aca="false">IF('DATA UNIT'!$B138="","",'DATA UNIT'!$B138)</f>
        <v/>
      </c>
      <c r="B2725" s="6" t="str">
        <f aca="false">IF($A2725="","",INDEX(PlanningItemsList,4))</f>
        <v/>
      </c>
      <c r="C2725" s="7"/>
      <c r="D2725" s="7"/>
    </row>
    <row r="2726" customFormat="false" ht="15" hidden="false" customHeight="false" outlineLevel="0" collapsed="false">
      <c r="A2726" s="6" t="str">
        <f aca="false">IF('DATA UNIT'!$B138="","",'DATA UNIT'!$B138)</f>
        <v/>
      </c>
      <c r="B2726" s="6" t="str">
        <f aca="false">IF($A2726="","",INDEX(PlanningItemsList,5))</f>
        <v/>
      </c>
      <c r="C2726" s="7"/>
      <c r="D2726" s="7"/>
    </row>
    <row r="2727" customFormat="false" ht="15" hidden="false" customHeight="false" outlineLevel="0" collapsed="false">
      <c r="A2727" s="6" t="str">
        <f aca="false">IF('DATA UNIT'!$B138="","",'DATA UNIT'!$B138)</f>
        <v/>
      </c>
      <c r="B2727" s="6" t="str">
        <f aca="false">IF($A2727="","",INDEX(PlanningItemsList,6))</f>
        <v/>
      </c>
      <c r="C2727" s="7"/>
      <c r="D2727" s="7"/>
    </row>
    <row r="2728" customFormat="false" ht="15" hidden="false" customHeight="false" outlineLevel="0" collapsed="false">
      <c r="A2728" s="6" t="str">
        <f aca="false">IF('DATA UNIT'!$B138="","",'DATA UNIT'!$B138)</f>
        <v/>
      </c>
      <c r="B2728" s="6" t="str">
        <f aca="false">IF($A2728="","",INDEX(PlanningItemsList,7))</f>
        <v/>
      </c>
      <c r="C2728" s="7"/>
      <c r="D2728" s="7"/>
    </row>
    <row r="2729" customFormat="false" ht="15" hidden="false" customHeight="false" outlineLevel="0" collapsed="false">
      <c r="A2729" s="6" t="str">
        <f aca="false">IF('DATA UNIT'!$B138="","",'DATA UNIT'!$B138)</f>
        <v/>
      </c>
      <c r="B2729" s="6" t="str">
        <f aca="false">IF($A2729="","",INDEX(PlanningItemsList,8))</f>
        <v/>
      </c>
      <c r="C2729" s="7"/>
      <c r="D2729" s="7"/>
    </row>
    <row r="2730" customFormat="false" ht="15" hidden="false" customHeight="false" outlineLevel="0" collapsed="false">
      <c r="A2730" s="6" t="str">
        <f aca="false">IF('DATA UNIT'!$B138="","",'DATA UNIT'!$B138)</f>
        <v/>
      </c>
      <c r="B2730" s="6" t="str">
        <f aca="false">IF($A2730="","",INDEX(PlanningItemsList,9))</f>
        <v/>
      </c>
      <c r="C2730" s="7"/>
      <c r="D2730" s="7"/>
    </row>
    <row r="2731" customFormat="false" ht="15" hidden="false" customHeight="false" outlineLevel="0" collapsed="false">
      <c r="A2731" s="6" t="str">
        <f aca="false">IF('DATA UNIT'!$B138="","",'DATA UNIT'!$B138)</f>
        <v/>
      </c>
      <c r="B2731" s="6" t="str">
        <f aca="false">IF($A2731="","",INDEX(PlanningItemsList,10))</f>
        <v/>
      </c>
      <c r="C2731" s="7"/>
      <c r="D2731" s="7"/>
    </row>
    <row r="2732" customFormat="false" ht="15" hidden="false" customHeight="false" outlineLevel="0" collapsed="false">
      <c r="A2732" s="6" t="str">
        <f aca="false">IF('DATA UNIT'!$B138="","",'DATA UNIT'!$B138)</f>
        <v/>
      </c>
      <c r="B2732" s="6" t="str">
        <f aca="false">IF($A2732="","",INDEX(PlanningItemsList,11))</f>
        <v/>
      </c>
      <c r="C2732" s="7"/>
      <c r="D2732" s="7"/>
    </row>
    <row r="2733" customFormat="false" ht="15" hidden="false" customHeight="false" outlineLevel="0" collapsed="false">
      <c r="A2733" s="6" t="str">
        <f aca="false">IF('DATA UNIT'!$B138="","",'DATA UNIT'!$B138)</f>
        <v/>
      </c>
      <c r="B2733" s="6" t="str">
        <f aca="false">IF($A2733="","",INDEX(PlanningItemsList,12))</f>
        <v/>
      </c>
      <c r="C2733" s="7"/>
      <c r="D2733" s="7"/>
    </row>
    <row r="2734" customFormat="false" ht="15" hidden="false" customHeight="false" outlineLevel="0" collapsed="false">
      <c r="A2734" s="6" t="str">
        <f aca="false">IF('DATA UNIT'!$B138="","",'DATA UNIT'!$B138)</f>
        <v/>
      </c>
      <c r="B2734" s="6" t="str">
        <f aca="false">IF($A2734="","",INDEX(PlanningItemsList,13))</f>
        <v/>
      </c>
      <c r="C2734" s="7"/>
      <c r="D2734" s="7"/>
    </row>
    <row r="2735" customFormat="false" ht="15" hidden="false" customHeight="false" outlineLevel="0" collapsed="false">
      <c r="A2735" s="6" t="str">
        <f aca="false">IF('DATA UNIT'!$B138="","",'DATA UNIT'!$B138)</f>
        <v/>
      </c>
      <c r="B2735" s="6" t="str">
        <f aca="false">IF($A2735="","",INDEX(PlanningItemsList,14))</f>
        <v/>
      </c>
      <c r="C2735" s="7"/>
      <c r="D2735" s="7"/>
    </row>
    <row r="2736" customFormat="false" ht="15" hidden="false" customHeight="false" outlineLevel="0" collapsed="false">
      <c r="A2736" s="6" t="str">
        <f aca="false">IF('DATA UNIT'!$B138="","",'DATA UNIT'!$B138)</f>
        <v/>
      </c>
      <c r="B2736" s="6" t="str">
        <f aca="false">IF($A2736="","",INDEX(PlanningItemsList,15))</f>
        <v/>
      </c>
      <c r="C2736" s="7"/>
      <c r="D2736" s="7"/>
    </row>
    <row r="2737" customFormat="false" ht="15" hidden="false" customHeight="false" outlineLevel="0" collapsed="false">
      <c r="A2737" s="6" t="str">
        <f aca="false">IF('DATA UNIT'!$B138="","",'DATA UNIT'!$B138)</f>
        <v/>
      </c>
      <c r="B2737" s="6" t="str">
        <f aca="false">IF($A2737="","",INDEX(PlanningItemsList,16))</f>
        <v/>
      </c>
      <c r="C2737" s="7"/>
      <c r="D2737" s="7"/>
    </row>
    <row r="2738" customFormat="false" ht="15" hidden="false" customHeight="false" outlineLevel="0" collapsed="false">
      <c r="A2738" s="6" t="str">
        <f aca="false">IF('DATA UNIT'!$B138="","",'DATA UNIT'!$B138)</f>
        <v/>
      </c>
      <c r="B2738" s="6" t="str">
        <f aca="false">IF($A2738="","",INDEX(PlanningItemsList,17))</f>
        <v/>
      </c>
      <c r="C2738" s="7"/>
      <c r="D2738" s="7"/>
    </row>
    <row r="2739" customFormat="false" ht="15" hidden="false" customHeight="false" outlineLevel="0" collapsed="false">
      <c r="A2739" s="6" t="str">
        <f aca="false">IF('DATA UNIT'!$B138="","",'DATA UNIT'!$B138)</f>
        <v/>
      </c>
      <c r="B2739" s="6" t="str">
        <f aca="false">IF($A2739="","",INDEX(PlanningItemsList,18))</f>
        <v/>
      </c>
      <c r="C2739" s="7"/>
      <c r="D2739" s="7"/>
    </row>
    <row r="2740" customFormat="false" ht="15" hidden="false" customHeight="false" outlineLevel="0" collapsed="false">
      <c r="A2740" s="6" t="str">
        <f aca="false">IF('DATA UNIT'!$B138="","",'DATA UNIT'!$B138)</f>
        <v/>
      </c>
      <c r="B2740" s="6" t="str">
        <f aca="false">IF($A2740="","",INDEX(PlanningItemsList,19))</f>
        <v/>
      </c>
      <c r="C2740" s="7"/>
      <c r="D2740" s="7"/>
    </row>
    <row r="2741" customFormat="false" ht="15" hidden="false" customHeight="false" outlineLevel="0" collapsed="false">
      <c r="A2741" s="6" t="str">
        <f aca="false">IF('DATA UNIT'!$B138="","",'DATA UNIT'!$B138)</f>
        <v/>
      </c>
      <c r="B2741" s="6" t="str">
        <f aca="false">IF($A2741="","",INDEX(PlanningItemsList,20))</f>
        <v/>
      </c>
      <c r="C2741" s="7"/>
      <c r="D2741" s="7"/>
    </row>
    <row r="2742" customFormat="false" ht="15" hidden="false" customHeight="false" outlineLevel="0" collapsed="false">
      <c r="A2742" s="6" t="str">
        <f aca="false">IF('DATA UNIT'!$B139="","",'DATA UNIT'!$B139)</f>
        <v/>
      </c>
      <c r="B2742" s="6" t="str">
        <f aca="false">IF($A2742="","",INDEX(PlanningItemsList,1))</f>
        <v/>
      </c>
      <c r="C2742" s="7"/>
      <c r="D2742" s="7"/>
    </row>
    <row r="2743" customFormat="false" ht="15" hidden="false" customHeight="false" outlineLevel="0" collapsed="false">
      <c r="A2743" s="6" t="str">
        <f aca="false">IF('DATA UNIT'!$B139="","",'DATA UNIT'!$B139)</f>
        <v/>
      </c>
      <c r="B2743" s="6" t="str">
        <f aca="false">IF($A2743="","",INDEX(PlanningItemsList,2))</f>
        <v/>
      </c>
      <c r="C2743" s="7"/>
      <c r="D2743" s="7"/>
    </row>
    <row r="2744" customFormat="false" ht="15" hidden="false" customHeight="false" outlineLevel="0" collapsed="false">
      <c r="A2744" s="6" t="str">
        <f aca="false">IF('DATA UNIT'!$B139="","",'DATA UNIT'!$B139)</f>
        <v/>
      </c>
      <c r="B2744" s="6" t="str">
        <f aca="false">IF($A2744="","",INDEX(PlanningItemsList,3))</f>
        <v/>
      </c>
      <c r="C2744" s="7"/>
      <c r="D2744" s="7"/>
    </row>
    <row r="2745" customFormat="false" ht="15" hidden="false" customHeight="false" outlineLevel="0" collapsed="false">
      <c r="A2745" s="6" t="str">
        <f aca="false">IF('DATA UNIT'!$B139="","",'DATA UNIT'!$B139)</f>
        <v/>
      </c>
      <c r="B2745" s="6" t="str">
        <f aca="false">IF($A2745="","",INDEX(PlanningItemsList,4))</f>
        <v/>
      </c>
      <c r="C2745" s="7"/>
      <c r="D2745" s="7"/>
    </row>
    <row r="2746" customFormat="false" ht="15" hidden="false" customHeight="false" outlineLevel="0" collapsed="false">
      <c r="A2746" s="6" t="str">
        <f aca="false">IF('DATA UNIT'!$B139="","",'DATA UNIT'!$B139)</f>
        <v/>
      </c>
      <c r="B2746" s="6" t="str">
        <f aca="false">IF($A2746="","",INDEX(PlanningItemsList,5))</f>
        <v/>
      </c>
      <c r="C2746" s="7"/>
      <c r="D2746" s="7"/>
    </row>
    <row r="2747" customFormat="false" ht="15" hidden="false" customHeight="false" outlineLevel="0" collapsed="false">
      <c r="A2747" s="6" t="str">
        <f aca="false">IF('DATA UNIT'!$B139="","",'DATA UNIT'!$B139)</f>
        <v/>
      </c>
      <c r="B2747" s="6" t="str">
        <f aca="false">IF($A2747="","",INDEX(PlanningItemsList,6))</f>
        <v/>
      </c>
      <c r="C2747" s="7"/>
      <c r="D2747" s="7"/>
    </row>
    <row r="2748" customFormat="false" ht="15" hidden="false" customHeight="false" outlineLevel="0" collapsed="false">
      <c r="A2748" s="6" t="str">
        <f aca="false">IF('DATA UNIT'!$B139="","",'DATA UNIT'!$B139)</f>
        <v/>
      </c>
      <c r="B2748" s="6" t="str">
        <f aca="false">IF($A2748="","",INDEX(PlanningItemsList,7))</f>
        <v/>
      </c>
      <c r="C2748" s="7"/>
      <c r="D2748" s="7"/>
    </row>
    <row r="2749" customFormat="false" ht="15" hidden="false" customHeight="false" outlineLevel="0" collapsed="false">
      <c r="A2749" s="6" t="str">
        <f aca="false">IF('DATA UNIT'!$B139="","",'DATA UNIT'!$B139)</f>
        <v/>
      </c>
      <c r="B2749" s="6" t="str">
        <f aca="false">IF($A2749="","",INDEX(PlanningItemsList,8))</f>
        <v/>
      </c>
      <c r="C2749" s="7"/>
      <c r="D2749" s="7"/>
    </row>
    <row r="2750" customFormat="false" ht="15" hidden="false" customHeight="false" outlineLevel="0" collapsed="false">
      <c r="A2750" s="6" t="str">
        <f aca="false">IF('DATA UNIT'!$B139="","",'DATA UNIT'!$B139)</f>
        <v/>
      </c>
      <c r="B2750" s="6" t="str">
        <f aca="false">IF($A2750="","",INDEX(PlanningItemsList,9))</f>
        <v/>
      </c>
      <c r="C2750" s="7"/>
      <c r="D2750" s="7"/>
    </row>
    <row r="2751" customFormat="false" ht="15" hidden="false" customHeight="false" outlineLevel="0" collapsed="false">
      <c r="A2751" s="6" t="str">
        <f aca="false">IF('DATA UNIT'!$B139="","",'DATA UNIT'!$B139)</f>
        <v/>
      </c>
      <c r="B2751" s="6" t="str">
        <f aca="false">IF($A2751="","",INDEX(PlanningItemsList,10))</f>
        <v/>
      </c>
      <c r="C2751" s="7"/>
      <c r="D2751" s="7"/>
    </row>
    <row r="2752" customFormat="false" ht="15" hidden="false" customHeight="false" outlineLevel="0" collapsed="false">
      <c r="A2752" s="6" t="str">
        <f aca="false">IF('DATA UNIT'!$B139="","",'DATA UNIT'!$B139)</f>
        <v/>
      </c>
      <c r="B2752" s="6" t="str">
        <f aca="false">IF($A2752="","",INDEX(PlanningItemsList,11))</f>
        <v/>
      </c>
      <c r="C2752" s="7"/>
      <c r="D2752" s="7"/>
    </row>
    <row r="2753" customFormat="false" ht="15" hidden="false" customHeight="false" outlineLevel="0" collapsed="false">
      <c r="A2753" s="6" t="str">
        <f aca="false">IF('DATA UNIT'!$B139="","",'DATA UNIT'!$B139)</f>
        <v/>
      </c>
      <c r="B2753" s="6" t="str">
        <f aca="false">IF($A2753="","",INDEX(PlanningItemsList,12))</f>
        <v/>
      </c>
      <c r="C2753" s="7"/>
      <c r="D2753" s="7"/>
    </row>
    <row r="2754" customFormat="false" ht="15" hidden="false" customHeight="false" outlineLevel="0" collapsed="false">
      <c r="A2754" s="6" t="str">
        <f aca="false">IF('DATA UNIT'!$B139="","",'DATA UNIT'!$B139)</f>
        <v/>
      </c>
      <c r="B2754" s="6" t="str">
        <f aca="false">IF($A2754="","",INDEX(PlanningItemsList,13))</f>
        <v/>
      </c>
      <c r="C2754" s="7"/>
      <c r="D2754" s="7"/>
    </row>
    <row r="2755" customFormat="false" ht="15" hidden="false" customHeight="false" outlineLevel="0" collapsed="false">
      <c r="A2755" s="6" t="str">
        <f aca="false">IF('DATA UNIT'!$B139="","",'DATA UNIT'!$B139)</f>
        <v/>
      </c>
      <c r="B2755" s="6" t="str">
        <f aca="false">IF($A2755="","",INDEX(PlanningItemsList,14))</f>
        <v/>
      </c>
      <c r="C2755" s="7"/>
      <c r="D2755" s="7"/>
    </row>
    <row r="2756" customFormat="false" ht="15" hidden="false" customHeight="false" outlineLevel="0" collapsed="false">
      <c r="A2756" s="6" t="str">
        <f aca="false">IF('DATA UNIT'!$B139="","",'DATA UNIT'!$B139)</f>
        <v/>
      </c>
      <c r="B2756" s="6" t="str">
        <f aca="false">IF($A2756="","",INDEX(PlanningItemsList,15))</f>
        <v/>
      </c>
      <c r="C2756" s="7"/>
      <c r="D2756" s="7"/>
    </row>
    <row r="2757" customFormat="false" ht="15" hidden="false" customHeight="false" outlineLevel="0" collapsed="false">
      <c r="A2757" s="6" t="str">
        <f aca="false">IF('DATA UNIT'!$B139="","",'DATA UNIT'!$B139)</f>
        <v/>
      </c>
      <c r="B2757" s="6" t="str">
        <f aca="false">IF($A2757="","",INDEX(PlanningItemsList,16))</f>
        <v/>
      </c>
      <c r="C2757" s="7"/>
      <c r="D2757" s="7"/>
    </row>
    <row r="2758" customFormat="false" ht="15" hidden="false" customHeight="false" outlineLevel="0" collapsed="false">
      <c r="A2758" s="6" t="str">
        <f aca="false">IF('DATA UNIT'!$B139="","",'DATA UNIT'!$B139)</f>
        <v/>
      </c>
      <c r="B2758" s="6" t="str">
        <f aca="false">IF($A2758="","",INDEX(PlanningItemsList,17))</f>
        <v/>
      </c>
      <c r="C2758" s="7"/>
      <c r="D2758" s="7"/>
    </row>
    <row r="2759" customFormat="false" ht="15" hidden="false" customHeight="false" outlineLevel="0" collapsed="false">
      <c r="A2759" s="6" t="str">
        <f aca="false">IF('DATA UNIT'!$B139="","",'DATA UNIT'!$B139)</f>
        <v/>
      </c>
      <c r="B2759" s="6" t="str">
        <f aca="false">IF($A2759="","",INDEX(PlanningItemsList,18))</f>
        <v/>
      </c>
      <c r="C2759" s="7"/>
      <c r="D2759" s="7"/>
    </row>
    <row r="2760" customFormat="false" ht="15" hidden="false" customHeight="false" outlineLevel="0" collapsed="false">
      <c r="A2760" s="6" t="str">
        <f aca="false">IF('DATA UNIT'!$B139="","",'DATA UNIT'!$B139)</f>
        <v/>
      </c>
      <c r="B2760" s="6" t="str">
        <f aca="false">IF($A2760="","",INDEX(PlanningItemsList,19))</f>
        <v/>
      </c>
      <c r="C2760" s="7"/>
      <c r="D2760" s="7"/>
    </row>
    <row r="2761" customFormat="false" ht="15" hidden="false" customHeight="false" outlineLevel="0" collapsed="false">
      <c r="A2761" s="6" t="str">
        <f aca="false">IF('DATA UNIT'!$B139="","",'DATA UNIT'!$B139)</f>
        <v/>
      </c>
      <c r="B2761" s="6" t="str">
        <f aca="false">IF($A2761="","",INDEX(PlanningItemsList,20))</f>
        <v/>
      </c>
      <c r="C2761" s="7"/>
      <c r="D2761" s="7"/>
    </row>
    <row r="2762" customFormat="false" ht="15" hidden="false" customHeight="false" outlineLevel="0" collapsed="false">
      <c r="A2762" s="6" t="str">
        <f aca="false">IF('DATA UNIT'!$B140="","",'DATA UNIT'!$B140)</f>
        <v/>
      </c>
      <c r="B2762" s="6" t="str">
        <f aca="false">IF($A2762="","",INDEX(PlanningItemsList,1))</f>
        <v/>
      </c>
      <c r="C2762" s="7"/>
      <c r="D2762" s="7"/>
    </row>
    <row r="2763" customFormat="false" ht="15" hidden="false" customHeight="false" outlineLevel="0" collapsed="false">
      <c r="A2763" s="6" t="str">
        <f aca="false">IF('DATA UNIT'!$B140="","",'DATA UNIT'!$B140)</f>
        <v/>
      </c>
      <c r="B2763" s="6" t="str">
        <f aca="false">IF($A2763="","",INDEX(PlanningItemsList,2))</f>
        <v/>
      </c>
      <c r="C2763" s="7"/>
      <c r="D2763" s="7"/>
    </row>
    <row r="2764" customFormat="false" ht="15" hidden="false" customHeight="false" outlineLevel="0" collapsed="false">
      <c r="A2764" s="6" t="str">
        <f aca="false">IF('DATA UNIT'!$B140="","",'DATA UNIT'!$B140)</f>
        <v/>
      </c>
      <c r="B2764" s="6" t="str">
        <f aca="false">IF($A2764="","",INDEX(PlanningItemsList,3))</f>
        <v/>
      </c>
      <c r="C2764" s="7"/>
      <c r="D2764" s="7"/>
    </row>
    <row r="2765" customFormat="false" ht="15" hidden="false" customHeight="false" outlineLevel="0" collapsed="false">
      <c r="A2765" s="6" t="str">
        <f aca="false">IF('DATA UNIT'!$B140="","",'DATA UNIT'!$B140)</f>
        <v/>
      </c>
      <c r="B2765" s="6" t="str">
        <f aca="false">IF($A2765="","",INDEX(PlanningItemsList,4))</f>
        <v/>
      </c>
      <c r="C2765" s="7"/>
      <c r="D2765" s="7"/>
    </row>
    <row r="2766" customFormat="false" ht="15" hidden="false" customHeight="false" outlineLevel="0" collapsed="false">
      <c r="A2766" s="6" t="str">
        <f aca="false">IF('DATA UNIT'!$B140="","",'DATA UNIT'!$B140)</f>
        <v/>
      </c>
      <c r="B2766" s="6" t="str">
        <f aca="false">IF($A2766="","",INDEX(PlanningItemsList,5))</f>
        <v/>
      </c>
      <c r="C2766" s="7"/>
      <c r="D2766" s="7"/>
    </row>
    <row r="2767" customFormat="false" ht="15" hidden="false" customHeight="false" outlineLevel="0" collapsed="false">
      <c r="A2767" s="6" t="str">
        <f aca="false">IF('DATA UNIT'!$B140="","",'DATA UNIT'!$B140)</f>
        <v/>
      </c>
      <c r="B2767" s="6" t="str">
        <f aca="false">IF($A2767="","",INDEX(PlanningItemsList,6))</f>
        <v/>
      </c>
      <c r="C2767" s="7"/>
      <c r="D2767" s="7"/>
    </row>
    <row r="2768" customFormat="false" ht="15" hidden="false" customHeight="false" outlineLevel="0" collapsed="false">
      <c r="A2768" s="6" t="str">
        <f aca="false">IF('DATA UNIT'!$B140="","",'DATA UNIT'!$B140)</f>
        <v/>
      </c>
      <c r="B2768" s="6" t="str">
        <f aca="false">IF($A2768="","",INDEX(PlanningItemsList,7))</f>
        <v/>
      </c>
      <c r="C2768" s="7"/>
      <c r="D2768" s="7"/>
    </row>
    <row r="2769" customFormat="false" ht="15" hidden="false" customHeight="false" outlineLevel="0" collapsed="false">
      <c r="A2769" s="6" t="str">
        <f aca="false">IF('DATA UNIT'!$B140="","",'DATA UNIT'!$B140)</f>
        <v/>
      </c>
      <c r="B2769" s="6" t="str">
        <f aca="false">IF($A2769="","",INDEX(PlanningItemsList,8))</f>
        <v/>
      </c>
      <c r="C2769" s="7"/>
      <c r="D2769" s="7"/>
    </row>
    <row r="2770" customFormat="false" ht="15" hidden="false" customHeight="false" outlineLevel="0" collapsed="false">
      <c r="A2770" s="6" t="str">
        <f aca="false">IF('DATA UNIT'!$B140="","",'DATA UNIT'!$B140)</f>
        <v/>
      </c>
      <c r="B2770" s="6" t="str">
        <f aca="false">IF($A2770="","",INDEX(PlanningItemsList,9))</f>
        <v/>
      </c>
      <c r="C2770" s="7"/>
      <c r="D2770" s="7"/>
    </row>
    <row r="2771" customFormat="false" ht="15" hidden="false" customHeight="false" outlineLevel="0" collapsed="false">
      <c r="A2771" s="6" t="str">
        <f aca="false">IF('DATA UNIT'!$B140="","",'DATA UNIT'!$B140)</f>
        <v/>
      </c>
      <c r="B2771" s="6" t="str">
        <f aca="false">IF($A2771="","",INDEX(PlanningItemsList,10))</f>
        <v/>
      </c>
      <c r="C2771" s="7"/>
      <c r="D2771" s="7"/>
    </row>
    <row r="2772" customFormat="false" ht="15" hidden="false" customHeight="false" outlineLevel="0" collapsed="false">
      <c r="A2772" s="6" t="str">
        <f aca="false">IF('DATA UNIT'!$B140="","",'DATA UNIT'!$B140)</f>
        <v/>
      </c>
      <c r="B2772" s="6" t="str">
        <f aca="false">IF($A2772="","",INDEX(PlanningItemsList,11))</f>
        <v/>
      </c>
      <c r="C2772" s="7"/>
      <c r="D2772" s="7"/>
    </row>
    <row r="2773" customFormat="false" ht="15" hidden="false" customHeight="false" outlineLevel="0" collapsed="false">
      <c r="A2773" s="6" t="str">
        <f aca="false">IF('DATA UNIT'!$B140="","",'DATA UNIT'!$B140)</f>
        <v/>
      </c>
      <c r="B2773" s="6" t="str">
        <f aca="false">IF($A2773="","",INDEX(PlanningItemsList,12))</f>
        <v/>
      </c>
      <c r="C2773" s="7"/>
      <c r="D2773" s="7"/>
    </row>
    <row r="2774" customFormat="false" ht="15" hidden="false" customHeight="false" outlineLevel="0" collapsed="false">
      <c r="A2774" s="6" t="str">
        <f aca="false">IF('DATA UNIT'!$B140="","",'DATA UNIT'!$B140)</f>
        <v/>
      </c>
      <c r="B2774" s="6" t="str">
        <f aca="false">IF($A2774="","",INDEX(PlanningItemsList,13))</f>
        <v/>
      </c>
      <c r="C2774" s="7"/>
      <c r="D2774" s="7"/>
    </row>
    <row r="2775" customFormat="false" ht="15" hidden="false" customHeight="false" outlineLevel="0" collapsed="false">
      <c r="A2775" s="6" t="str">
        <f aca="false">IF('DATA UNIT'!$B140="","",'DATA UNIT'!$B140)</f>
        <v/>
      </c>
      <c r="B2775" s="6" t="str">
        <f aca="false">IF($A2775="","",INDEX(PlanningItemsList,14))</f>
        <v/>
      </c>
      <c r="C2775" s="7"/>
      <c r="D2775" s="7"/>
    </row>
    <row r="2776" customFormat="false" ht="15" hidden="false" customHeight="false" outlineLevel="0" collapsed="false">
      <c r="A2776" s="6" t="str">
        <f aca="false">IF('DATA UNIT'!$B140="","",'DATA UNIT'!$B140)</f>
        <v/>
      </c>
      <c r="B2776" s="6" t="str">
        <f aca="false">IF($A2776="","",INDEX(PlanningItemsList,15))</f>
        <v/>
      </c>
      <c r="C2776" s="7"/>
      <c r="D2776" s="7"/>
    </row>
    <row r="2777" customFormat="false" ht="15" hidden="false" customHeight="false" outlineLevel="0" collapsed="false">
      <c r="A2777" s="6" t="str">
        <f aca="false">IF('DATA UNIT'!$B140="","",'DATA UNIT'!$B140)</f>
        <v/>
      </c>
      <c r="B2777" s="6" t="str">
        <f aca="false">IF($A2777="","",INDEX(PlanningItemsList,16))</f>
        <v/>
      </c>
      <c r="C2777" s="7"/>
      <c r="D2777" s="7"/>
    </row>
    <row r="2778" customFormat="false" ht="15" hidden="false" customHeight="false" outlineLevel="0" collapsed="false">
      <c r="A2778" s="6" t="str">
        <f aca="false">IF('DATA UNIT'!$B140="","",'DATA UNIT'!$B140)</f>
        <v/>
      </c>
      <c r="B2778" s="6" t="str">
        <f aca="false">IF($A2778="","",INDEX(PlanningItemsList,17))</f>
        <v/>
      </c>
      <c r="C2778" s="7"/>
      <c r="D2778" s="7"/>
    </row>
    <row r="2779" customFormat="false" ht="15" hidden="false" customHeight="false" outlineLevel="0" collapsed="false">
      <c r="A2779" s="6" t="str">
        <f aca="false">IF('DATA UNIT'!$B140="","",'DATA UNIT'!$B140)</f>
        <v/>
      </c>
      <c r="B2779" s="6" t="str">
        <f aca="false">IF($A2779="","",INDEX(PlanningItemsList,18))</f>
        <v/>
      </c>
      <c r="C2779" s="7"/>
      <c r="D2779" s="7"/>
    </row>
    <row r="2780" customFormat="false" ht="15" hidden="false" customHeight="false" outlineLevel="0" collapsed="false">
      <c r="A2780" s="6" t="str">
        <f aca="false">IF('DATA UNIT'!$B140="","",'DATA UNIT'!$B140)</f>
        <v/>
      </c>
      <c r="B2780" s="6" t="str">
        <f aca="false">IF($A2780="","",INDEX(PlanningItemsList,19))</f>
        <v/>
      </c>
      <c r="C2780" s="7"/>
      <c r="D2780" s="7"/>
    </row>
    <row r="2781" customFormat="false" ht="15" hidden="false" customHeight="false" outlineLevel="0" collapsed="false">
      <c r="A2781" s="6" t="str">
        <f aca="false">IF('DATA UNIT'!$B140="","",'DATA UNIT'!$B140)</f>
        <v/>
      </c>
      <c r="B2781" s="6" t="str">
        <f aca="false">IF($A2781="","",INDEX(PlanningItemsList,20))</f>
        <v/>
      </c>
      <c r="C2781" s="7"/>
      <c r="D2781" s="7"/>
    </row>
    <row r="2782" customFormat="false" ht="15" hidden="false" customHeight="false" outlineLevel="0" collapsed="false">
      <c r="A2782" s="6" t="str">
        <f aca="false">IF('DATA UNIT'!$B141="","",'DATA UNIT'!$B141)</f>
        <v/>
      </c>
      <c r="B2782" s="6" t="str">
        <f aca="false">IF($A2782="","",INDEX(PlanningItemsList,1))</f>
        <v/>
      </c>
      <c r="C2782" s="7"/>
      <c r="D2782" s="7"/>
    </row>
    <row r="2783" customFormat="false" ht="15" hidden="false" customHeight="false" outlineLevel="0" collapsed="false">
      <c r="A2783" s="6" t="str">
        <f aca="false">IF('DATA UNIT'!$B141="","",'DATA UNIT'!$B141)</f>
        <v/>
      </c>
      <c r="B2783" s="6" t="str">
        <f aca="false">IF($A2783="","",INDEX(PlanningItemsList,2))</f>
        <v/>
      </c>
      <c r="C2783" s="7"/>
      <c r="D2783" s="7"/>
    </row>
    <row r="2784" customFormat="false" ht="15" hidden="false" customHeight="false" outlineLevel="0" collapsed="false">
      <c r="A2784" s="6" t="str">
        <f aca="false">IF('DATA UNIT'!$B141="","",'DATA UNIT'!$B141)</f>
        <v/>
      </c>
      <c r="B2784" s="6" t="str">
        <f aca="false">IF($A2784="","",INDEX(PlanningItemsList,3))</f>
        <v/>
      </c>
      <c r="C2784" s="7"/>
      <c r="D2784" s="7"/>
    </row>
    <row r="2785" customFormat="false" ht="15" hidden="false" customHeight="false" outlineLevel="0" collapsed="false">
      <c r="A2785" s="6" t="str">
        <f aca="false">IF('DATA UNIT'!$B141="","",'DATA UNIT'!$B141)</f>
        <v/>
      </c>
      <c r="B2785" s="6" t="str">
        <f aca="false">IF($A2785="","",INDEX(PlanningItemsList,4))</f>
        <v/>
      </c>
      <c r="C2785" s="7"/>
      <c r="D2785" s="7"/>
    </row>
    <row r="2786" customFormat="false" ht="15" hidden="false" customHeight="false" outlineLevel="0" collapsed="false">
      <c r="A2786" s="6" t="str">
        <f aca="false">IF('DATA UNIT'!$B141="","",'DATA UNIT'!$B141)</f>
        <v/>
      </c>
      <c r="B2786" s="6" t="str">
        <f aca="false">IF($A2786="","",INDEX(PlanningItemsList,5))</f>
        <v/>
      </c>
      <c r="C2786" s="7"/>
      <c r="D2786" s="7"/>
    </row>
    <row r="2787" customFormat="false" ht="15" hidden="false" customHeight="false" outlineLevel="0" collapsed="false">
      <c r="A2787" s="6" t="str">
        <f aca="false">IF('DATA UNIT'!$B141="","",'DATA UNIT'!$B141)</f>
        <v/>
      </c>
      <c r="B2787" s="6" t="str">
        <f aca="false">IF($A2787="","",INDEX(PlanningItemsList,6))</f>
        <v/>
      </c>
      <c r="C2787" s="7"/>
      <c r="D2787" s="7"/>
    </row>
    <row r="2788" customFormat="false" ht="15" hidden="false" customHeight="false" outlineLevel="0" collapsed="false">
      <c r="A2788" s="6" t="str">
        <f aca="false">IF('DATA UNIT'!$B141="","",'DATA UNIT'!$B141)</f>
        <v/>
      </c>
      <c r="B2788" s="6" t="str">
        <f aca="false">IF($A2788="","",INDEX(PlanningItemsList,7))</f>
        <v/>
      </c>
      <c r="C2788" s="7"/>
      <c r="D2788" s="7"/>
    </row>
    <row r="2789" customFormat="false" ht="15" hidden="false" customHeight="false" outlineLevel="0" collapsed="false">
      <c r="A2789" s="6" t="str">
        <f aca="false">IF('DATA UNIT'!$B141="","",'DATA UNIT'!$B141)</f>
        <v/>
      </c>
      <c r="B2789" s="6" t="str">
        <f aca="false">IF($A2789="","",INDEX(PlanningItemsList,8))</f>
        <v/>
      </c>
      <c r="C2789" s="7"/>
      <c r="D2789" s="7"/>
    </row>
    <row r="2790" customFormat="false" ht="15" hidden="false" customHeight="false" outlineLevel="0" collapsed="false">
      <c r="A2790" s="6" t="str">
        <f aca="false">IF('DATA UNIT'!$B141="","",'DATA UNIT'!$B141)</f>
        <v/>
      </c>
      <c r="B2790" s="6" t="str">
        <f aca="false">IF($A2790="","",INDEX(PlanningItemsList,9))</f>
        <v/>
      </c>
      <c r="C2790" s="7"/>
      <c r="D2790" s="7"/>
    </row>
    <row r="2791" customFormat="false" ht="15" hidden="false" customHeight="false" outlineLevel="0" collapsed="false">
      <c r="A2791" s="6" t="str">
        <f aca="false">IF('DATA UNIT'!$B141="","",'DATA UNIT'!$B141)</f>
        <v/>
      </c>
      <c r="B2791" s="6" t="str">
        <f aca="false">IF($A2791="","",INDEX(PlanningItemsList,10))</f>
        <v/>
      </c>
      <c r="C2791" s="7"/>
      <c r="D2791" s="7"/>
    </row>
    <row r="2792" customFormat="false" ht="15" hidden="false" customHeight="false" outlineLevel="0" collapsed="false">
      <c r="A2792" s="6" t="str">
        <f aca="false">IF('DATA UNIT'!$B141="","",'DATA UNIT'!$B141)</f>
        <v/>
      </c>
      <c r="B2792" s="6" t="str">
        <f aca="false">IF($A2792="","",INDEX(PlanningItemsList,11))</f>
        <v/>
      </c>
      <c r="C2792" s="7"/>
      <c r="D2792" s="7"/>
    </row>
    <row r="2793" customFormat="false" ht="15" hidden="false" customHeight="false" outlineLevel="0" collapsed="false">
      <c r="A2793" s="6" t="str">
        <f aca="false">IF('DATA UNIT'!$B141="","",'DATA UNIT'!$B141)</f>
        <v/>
      </c>
      <c r="B2793" s="6" t="str">
        <f aca="false">IF($A2793="","",INDEX(PlanningItemsList,12))</f>
        <v/>
      </c>
      <c r="C2793" s="7"/>
      <c r="D2793" s="7"/>
    </row>
    <row r="2794" customFormat="false" ht="15" hidden="false" customHeight="false" outlineLevel="0" collapsed="false">
      <c r="A2794" s="6" t="str">
        <f aca="false">IF('DATA UNIT'!$B141="","",'DATA UNIT'!$B141)</f>
        <v/>
      </c>
      <c r="B2794" s="6" t="str">
        <f aca="false">IF($A2794="","",INDEX(PlanningItemsList,13))</f>
        <v/>
      </c>
      <c r="C2794" s="7"/>
      <c r="D2794" s="7"/>
    </row>
    <row r="2795" customFormat="false" ht="15" hidden="false" customHeight="false" outlineLevel="0" collapsed="false">
      <c r="A2795" s="6" t="str">
        <f aca="false">IF('DATA UNIT'!$B141="","",'DATA UNIT'!$B141)</f>
        <v/>
      </c>
      <c r="B2795" s="6" t="str">
        <f aca="false">IF($A2795="","",INDEX(PlanningItemsList,14))</f>
        <v/>
      </c>
      <c r="C2795" s="7"/>
      <c r="D2795" s="7"/>
    </row>
    <row r="2796" customFormat="false" ht="15" hidden="false" customHeight="false" outlineLevel="0" collapsed="false">
      <c r="A2796" s="6" t="str">
        <f aca="false">IF('DATA UNIT'!$B141="","",'DATA UNIT'!$B141)</f>
        <v/>
      </c>
      <c r="B2796" s="6" t="str">
        <f aca="false">IF($A2796="","",INDEX(PlanningItemsList,15))</f>
        <v/>
      </c>
      <c r="C2796" s="7"/>
      <c r="D2796" s="7"/>
    </row>
    <row r="2797" customFormat="false" ht="15" hidden="false" customHeight="false" outlineLevel="0" collapsed="false">
      <c r="A2797" s="6" t="str">
        <f aca="false">IF('DATA UNIT'!$B141="","",'DATA UNIT'!$B141)</f>
        <v/>
      </c>
      <c r="B2797" s="6" t="str">
        <f aca="false">IF($A2797="","",INDEX(PlanningItemsList,16))</f>
        <v/>
      </c>
      <c r="C2797" s="7"/>
      <c r="D2797" s="7"/>
    </row>
    <row r="2798" customFormat="false" ht="15" hidden="false" customHeight="false" outlineLevel="0" collapsed="false">
      <c r="A2798" s="6" t="str">
        <f aca="false">IF('DATA UNIT'!$B141="","",'DATA UNIT'!$B141)</f>
        <v/>
      </c>
      <c r="B2798" s="6" t="str">
        <f aca="false">IF($A2798="","",INDEX(PlanningItemsList,17))</f>
        <v/>
      </c>
      <c r="C2798" s="7"/>
      <c r="D2798" s="7"/>
    </row>
    <row r="2799" customFormat="false" ht="15" hidden="false" customHeight="false" outlineLevel="0" collapsed="false">
      <c r="A2799" s="6" t="str">
        <f aca="false">IF('DATA UNIT'!$B141="","",'DATA UNIT'!$B141)</f>
        <v/>
      </c>
      <c r="B2799" s="6" t="str">
        <f aca="false">IF($A2799="","",INDEX(PlanningItemsList,18))</f>
        <v/>
      </c>
      <c r="C2799" s="7"/>
      <c r="D2799" s="7"/>
    </row>
    <row r="2800" customFormat="false" ht="15" hidden="false" customHeight="false" outlineLevel="0" collapsed="false">
      <c r="A2800" s="6" t="str">
        <f aca="false">IF('DATA UNIT'!$B141="","",'DATA UNIT'!$B141)</f>
        <v/>
      </c>
      <c r="B2800" s="6" t="str">
        <f aca="false">IF($A2800="","",INDEX(PlanningItemsList,19))</f>
        <v/>
      </c>
      <c r="C2800" s="7"/>
      <c r="D2800" s="7"/>
    </row>
    <row r="2801" customFormat="false" ht="15" hidden="false" customHeight="false" outlineLevel="0" collapsed="false">
      <c r="A2801" s="6" t="str">
        <f aca="false">IF('DATA UNIT'!$B141="","",'DATA UNIT'!$B141)</f>
        <v/>
      </c>
      <c r="B2801" s="6" t="str">
        <f aca="false">IF($A2801="","",INDEX(PlanningItemsList,20))</f>
        <v/>
      </c>
      <c r="C2801" s="7"/>
      <c r="D2801" s="7"/>
    </row>
    <row r="2802" customFormat="false" ht="15" hidden="false" customHeight="false" outlineLevel="0" collapsed="false">
      <c r="A2802" s="6" t="str">
        <f aca="false">IF('DATA UNIT'!$B142="","",'DATA UNIT'!$B142)</f>
        <v/>
      </c>
      <c r="B2802" s="6" t="str">
        <f aca="false">IF($A2802="","",INDEX(PlanningItemsList,1))</f>
        <v/>
      </c>
      <c r="C2802" s="7"/>
      <c r="D2802" s="7"/>
    </row>
    <row r="2803" customFormat="false" ht="15" hidden="false" customHeight="false" outlineLevel="0" collapsed="false">
      <c r="A2803" s="6" t="str">
        <f aca="false">IF('DATA UNIT'!$B142="","",'DATA UNIT'!$B142)</f>
        <v/>
      </c>
      <c r="B2803" s="6" t="str">
        <f aca="false">IF($A2803="","",INDEX(PlanningItemsList,2))</f>
        <v/>
      </c>
      <c r="C2803" s="7"/>
      <c r="D2803" s="7"/>
    </row>
    <row r="2804" customFormat="false" ht="15" hidden="false" customHeight="false" outlineLevel="0" collapsed="false">
      <c r="A2804" s="6" t="str">
        <f aca="false">IF('DATA UNIT'!$B142="","",'DATA UNIT'!$B142)</f>
        <v/>
      </c>
      <c r="B2804" s="6" t="str">
        <f aca="false">IF($A2804="","",INDEX(PlanningItemsList,3))</f>
        <v/>
      </c>
      <c r="C2804" s="7"/>
      <c r="D2804" s="7"/>
    </row>
    <row r="2805" customFormat="false" ht="15" hidden="false" customHeight="false" outlineLevel="0" collapsed="false">
      <c r="A2805" s="6" t="str">
        <f aca="false">IF('DATA UNIT'!$B142="","",'DATA UNIT'!$B142)</f>
        <v/>
      </c>
      <c r="B2805" s="6" t="str">
        <f aca="false">IF($A2805="","",INDEX(PlanningItemsList,4))</f>
        <v/>
      </c>
      <c r="C2805" s="7"/>
      <c r="D2805" s="7"/>
    </row>
    <row r="2806" customFormat="false" ht="15" hidden="false" customHeight="false" outlineLevel="0" collapsed="false">
      <c r="A2806" s="6" t="str">
        <f aca="false">IF('DATA UNIT'!$B142="","",'DATA UNIT'!$B142)</f>
        <v/>
      </c>
      <c r="B2806" s="6" t="str">
        <f aca="false">IF($A2806="","",INDEX(PlanningItemsList,5))</f>
        <v/>
      </c>
      <c r="C2806" s="7"/>
      <c r="D2806" s="7"/>
    </row>
    <row r="2807" customFormat="false" ht="15" hidden="false" customHeight="false" outlineLevel="0" collapsed="false">
      <c r="A2807" s="6" t="str">
        <f aca="false">IF('DATA UNIT'!$B142="","",'DATA UNIT'!$B142)</f>
        <v/>
      </c>
      <c r="B2807" s="6" t="str">
        <f aca="false">IF($A2807="","",INDEX(PlanningItemsList,6))</f>
        <v/>
      </c>
      <c r="C2807" s="7"/>
      <c r="D2807" s="7"/>
    </row>
    <row r="2808" customFormat="false" ht="15" hidden="false" customHeight="false" outlineLevel="0" collapsed="false">
      <c r="A2808" s="6" t="str">
        <f aca="false">IF('DATA UNIT'!$B142="","",'DATA UNIT'!$B142)</f>
        <v/>
      </c>
      <c r="B2808" s="6" t="str">
        <f aca="false">IF($A2808="","",INDEX(PlanningItemsList,7))</f>
        <v/>
      </c>
      <c r="C2808" s="7"/>
      <c r="D2808" s="7"/>
    </row>
    <row r="2809" customFormat="false" ht="15" hidden="false" customHeight="false" outlineLevel="0" collapsed="false">
      <c r="A2809" s="6" t="str">
        <f aca="false">IF('DATA UNIT'!$B142="","",'DATA UNIT'!$B142)</f>
        <v/>
      </c>
      <c r="B2809" s="6" t="str">
        <f aca="false">IF($A2809="","",INDEX(PlanningItemsList,8))</f>
        <v/>
      </c>
      <c r="C2809" s="7"/>
      <c r="D2809" s="7"/>
    </row>
    <row r="2810" customFormat="false" ht="15" hidden="false" customHeight="false" outlineLevel="0" collapsed="false">
      <c r="A2810" s="6" t="str">
        <f aca="false">IF('DATA UNIT'!$B142="","",'DATA UNIT'!$B142)</f>
        <v/>
      </c>
      <c r="B2810" s="6" t="str">
        <f aca="false">IF($A2810="","",INDEX(PlanningItemsList,9))</f>
        <v/>
      </c>
      <c r="C2810" s="7"/>
      <c r="D2810" s="7"/>
    </row>
    <row r="2811" customFormat="false" ht="15" hidden="false" customHeight="false" outlineLevel="0" collapsed="false">
      <c r="A2811" s="6" t="str">
        <f aca="false">IF('DATA UNIT'!$B142="","",'DATA UNIT'!$B142)</f>
        <v/>
      </c>
      <c r="B2811" s="6" t="str">
        <f aca="false">IF($A2811="","",INDEX(PlanningItemsList,10))</f>
        <v/>
      </c>
      <c r="C2811" s="7"/>
      <c r="D2811" s="7"/>
    </row>
    <row r="2812" customFormat="false" ht="15" hidden="false" customHeight="false" outlineLevel="0" collapsed="false">
      <c r="A2812" s="6" t="str">
        <f aca="false">IF('DATA UNIT'!$B142="","",'DATA UNIT'!$B142)</f>
        <v/>
      </c>
      <c r="B2812" s="6" t="str">
        <f aca="false">IF($A2812="","",INDEX(PlanningItemsList,11))</f>
        <v/>
      </c>
      <c r="C2812" s="7"/>
      <c r="D2812" s="7"/>
    </row>
    <row r="2813" customFormat="false" ht="15" hidden="false" customHeight="false" outlineLevel="0" collapsed="false">
      <c r="A2813" s="6" t="str">
        <f aca="false">IF('DATA UNIT'!$B142="","",'DATA UNIT'!$B142)</f>
        <v/>
      </c>
      <c r="B2813" s="6" t="str">
        <f aca="false">IF($A2813="","",INDEX(PlanningItemsList,12))</f>
        <v/>
      </c>
      <c r="C2813" s="7"/>
      <c r="D2813" s="7"/>
    </row>
    <row r="2814" customFormat="false" ht="15" hidden="false" customHeight="false" outlineLevel="0" collapsed="false">
      <c r="A2814" s="6" t="str">
        <f aca="false">IF('DATA UNIT'!$B142="","",'DATA UNIT'!$B142)</f>
        <v/>
      </c>
      <c r="B2814" s="6" t="str">
        <f aca="false">IF($A2814="","",INDEX(PlanningItemsList,13))</f>
        <v/>
      </c>
      <c r="C2814" s="7"/>
      <c r="D2814" s="7"/>
    </row>
    <row r="2815" customFormat="false" ht="15" hidden="false" customHeight="false" outlineLevel="0" collapsed="false">
      <c r="A2815" s="6" t="str">
        <f aca="false">IF('DATA UNIT'!$B142="","",'DATA UNIT'!$B142)</f>
        <v/>
      </c>
      <c r="B2815" s="6" t="str">
        <f aca="false">IF($A2815="","",INDEX(PlanningItemsList,14))</f>
        <v/>
      </c>
      <c r="C2815" s="7"/>
      <c r="D2815" s="7"/>
    </row>
    <row r="2816" customFormat="false" ht="15" hidden="false" customHeight="false" outlineLevel="0" collapsed="false">
      <c r="A2816" s="6" t="str">
        <f aca="false">IF('DATA UNIT'!$B142="","",'DATA UNIT'!$B142)</f>
        <v/>
      </c>
      <c r="B2816" s="6" t="str">
        <f aca="false">IF($A2816="","",INDEX(PlanningItemsList,15))</f>
        <v/>
      </c>
      <c r="C2816" s="7"/>
      <c r="D2816" s="7"/>
    </row>
    <row r="2817" customFormat="false" ht="15" hidden="false" customHeight="false" outlineLevel="0" collapsed="false">
      <c r="A2817" s="6" t="str">
        <f aca="false">IF('DATA UNIT'!$B142="","",'DATA UNIT'!$B142)</f>
        <v/>
      </c>
      <c r="B2817" s="6" t="str">
        <f aca="false">IF($A2817="","",INDEX(PlanningItemsList,16))</f>
        <v/>
      </c>
      <c r="C2817" s="7"/>
      <c r="D2817" s="7"/>
    </row>
    <row r="2818" customFormat="false" ht="15" hidden="false" customHeight="false" outlineLevel="0" collapsed="false">
      <c r="A2818" s="6" t="str">
        <f aca="false">IF('DATA UNIT'!$B142="","",'DATA UNIT'!$B142)</f>
        <v/>
      </c>
      <c r="B2818" s="6" t="str">
        <f aca="false">IF($A2818="","",INDEX(PlanningItemsList,17))</f>
        <v/>
      </c>
      <c r="C2818" s="7"/>
      <c r="D2818" s="7"/>
    </row>
    <row r="2819" customFormat="false" ht="15" hidden="false" customHeight="false" outlineLevel="0" collapsed="false">
      <c r="A2819" s="6" t="str">
        <f aca="false">IF('DATA UNIT'!$B142="","",'DATA UNIT'!$B142)</f>
        <v/>
      </c>
      <c r="B2819" s="6" t="str">
        <f aca="false">IF($A2819="","",INDEX(PlanningItemsList,18))</f>
        <v/>
      </c>
      <c r="C2819" s="7"/>
      <c r="D2819" s="7"/>
    </row>
    <row r="2820" customFormat="false" ht="15" hidden="false" customHeight="false" outlineLevel="0" collapsed="false">
      <c r="A2820" s="6" t="str">
        <f aca="false">IF('DATA UNIT'!$B142="","",'DATA UNIT'!$B142)</f>
        <v/>
      </c>
      <c r="B2820" s="6" t="str">
        <f aca="false">IF($A2820="","",INDEX(PlanningItemsList,19))</f>
        <v/>
      </c>
      <c r="C2820" s="7"/>
      <c r="D2820" s="7"/>
    </row>
    <row r="2821" customFormat="false" ht="15" hidden="false" customHeight="false" outlineLevel="0" collapsed="false">
      <c r="A2821" s="6" t="str">
        <f aca="false">IF('DATA UNIT'!$B142="","",'DATA UNIT'!$B142)</f>
        <v/>
      </c>
      <c r="B2821" s="6" t="str">
        <f aca="false">IF($A2821="","",INDEX(PlanningItemsList,20))</f>
        <v/>
      </c>
      <c r="C2821" s="7"/>
      <c r="D2821" s="7"/>
    </row>
    <row r="2822" customFormat="false" ht="15" hidden="false" customHeight="false" outlineLevel="0" collapsed="false">
      <c r="A2822" s="6" t="str">
        <f aca="false">IF('DATA UNIT'!$B143="","",'DATA UNIT'!$B143)</f>
        <v/>
      </c>
      <c r="B2822" s="6" t="str">
        <f aca="false">IF($A2822="","",INDEX(PlanningItemsList,1))</f>
        <v/>
      </c>
      <c r="C2822" s="7"/>
      <c r="D2822" s="7"/>
    </row>
    <row r="2823" customFormat="false" ht="15" hidden="false" customHeight="false" outlineLevel="0" collapsed="false">
      <c r="A2823" s="6" t="str">
        <f aca="false">IF('DATA UNIT'!$B143="","",'DATA UNIT'!$B143)</f>
        <v/>
      </c>
      <c r="B2823" s="6" t="str">
        <f aca="false">IF($A2823="","",INDEX(PlanningItemsList,2))</f>
        <v/>
      </c>
      <c r="C2823" s="7"/>
      <c r="D2823" s="7"/>
    </row>
    <row r="2824" customFormat="false" ht="15" hidden="false" customHeight="false" outlineLevel="0" collapsed="false">
      <c r="A2824" s="6" t="str">
        <f aca="false">IF('DATA UNIT'!$B143="","",'DATA UNIT'!$B143)</f>
        <v/>
      </c>
      <c r="B2824" s="6" t="str">
        <f aca="false">IF($A2824="","",INDEX(PlanningItemsList,3))</f>
        <v/>
      </c>
      <c r="C2824" s="7"/>
      <c r="D2824" s="7"/>
    </row>
    <row r="2825" customFormat="false" ht="15" hidden="false" customHeight="false" outlineLevel="0" collapsed="false">
      <c r="A2825" s="6" t="str">
        <f aca="false">IF('DATA UNIT'!$B143="","",'DATA UNIT'!$B143)</f>
        <v/>
      </c>
      <c r="B2825" s="6" t="str">
        <f aca="false">IF($A2825="","",INDEX(PlanningItemsList,4))</f>
        <v/>
      </c>
      <c r="C2825" s="7"/>
      <c r="D2825" s="7"/>
    </row>
    <row r="2826" customFormat="false" ht="15" hidden="false" customHeight="false" outlineLevel="0" collapsed="false">
      <c r="A2826" s="6" t="str">
        <f aca="false">IF('DATA UNIT'!$B143="","",'DATA UNIT'!$B143)</f>
        <v/>
      </c>
      <c r="B2826" s="6" t="str">
        <f aca="false">IF($A2826="","",INDEX(PlanningItemsList,5))</f>
        <v/>
      </c>
      <c r="C2826" s="7"/>
      <c r="D2826" s="7"/>
    </row>
    <row r="2827" customFormat="false" ht="15" hidden="false" customHeight="false" outlineLevel="0" collapsed="false">
      <c r="A2827" s="6" t="str">
        <f aca="false">IF('DATA UNIT'!$B143="","",'DATA UNIT'!$B143)</f>
        <v/>
      </c>
      <c r="B2827" s="6" t="str">
        <f aca="false">IF($A2827="","",INDEX(PlanningItemsList,6))</f>
        <v/>
      </c>
      <c r="C2827" s="7"/>
      <c r="D2827" s="7"/>
    </row>
    <row r="2828" customFormat="false" ht="15" hidden="false" customHeight="false" outlineLevel="0" collapsed="false">
      <c r="A2828" s="6" t="str">
        <f aca="false">IF('DATA UNIT'!$B143="","",'DATA UNIT'!$B143)</f>
        <v/>
      </c>
      <c r="B2828" s="6" t="str">
        <f aca="false">IF($A2828="","",INDEX(PlanningItemsList,7))</f>
        <v/>
      </c>
      <c r="C2828" s="7"/>
      <c r="D2828" s="7"/>
    </row>
    <row r="2829" customFormat="false" ht="15" hidden="false" customHeight="false" outlineLevel="0" collapsed="false">
      <c r="A2829" s="6" t="str">
        <f aca="false">IF('DATA UNIT'!$B143="","",'DATA UNIT'!$B143)</f>
        <v/>
      </c>
      <c r="B2829" s="6" t="str">
        <f aca="false">IF($A2829="","",INDEX(PlanningItemsList,8))</f>
        <v/>
      </c>
      <c r="C2829" s="7"/>
      <c r="D2829" s="7"/>
    </row>
    <row r="2830" customFormat="false" ht="15" hidden="false" customHeight="false" outlineLevel="0" collapsed="false">
      <c r="A2830" s="6" t="str">
        <f aca="false">IF('DATA UNIT'!$B143="","",'DATA UNIT'!$B143)</f>
        <v/>
      </c>
      <c r="B2830" s="6" t="str">
        <f aca="false">IF($A2830="","",INDEX(PlanningItemsList,9))</f>
        <v/>
      </c>
      <c r="C2830" s="7"/>
      <c r="D2830" s="7"/>
    </row>
    <row r="2831" customFormat="false" ht="15" hidden="false" customHeight="false" outlineLevel="0" collapsed="false">
      <c r="A2831" s="6" t="str">
        <f aca="false">IF('DATA UNIT'!$B143="","",'DATA UNIT'!$B143)</f>
        <v/>
      </c>
      <c r="B2831" s="6" t="str">
        <f aca="false">IF($A2831="","",INDEX(PlanningItemsList,10))</f>
        <v/>
      </c>
      <c r="C2831" s="7"/>
      <c r="D2831" s="7"/>
    </row>
    <row r="2832" customFormat="false" ht="15" hidden="false" customHeight="false" outlineLevel="0" collapsed="false">
      <c r="A2832" s="6" t="str">
        <f aca="false">IF('DATA UNIT'!$B143="","",'DATA UNIT'!$B143)</f>
        <v/>
      </c>
      <c r="B2832" s="6" t="str">
        <f aca="false">IF($A2832="","",INDEX(PlanningItemsList,11))</f>
        <v/>
      </c>
      <c r="C2832" s="7"/>
      <c r="D2832" s="7"/>
    </row>
    <row r="2833" customFormat="false" ht="15" hidden="false" customHeight="false" outlineLevel="0" collapsed="false">
      <c r="A2833" s="6" t="str">
        <f aca="false">IF('DATA UNIT'!$B143="","",'DATA UNIT'!$B143)</f>
        <v/>
      </c>
      <c r="B2833" s="6" t="str">
        <f aca="false">IF($A2833="","",INDEX(PlanningItemsList,12))</f>
        <v/>
      </c>
      <c r="C2833" s="7"/>
      <c r="D2833" s="7"/>
    </row>
    <row r="2834" customFormat="false" ht="15" hidden="false" customHeight="false" outlineLevel="0" collapsed="false">
      <c r="A2834" s="6" t="str">
        <f aca="false">IF('DATA UNIT'!$B143="","",'DATA UNIT'!$B143)</f>
        <v/>
      </c>
      <c r="B2834" s="6" t="str">
        <f aca="false">IF($A2834="","",INDEX(PlanningItemsList,13))</f>
        <v/>
      </c>
      <c r="C2834" s="7"/>
      <c r="D2834" s="7"/>
    </row>
    <row r="2835" customFormat="false" ht="15" hidden="false" customHeight="false" outlineLevel="0" collapsed="false">
      <c r="A2835" s="6" t="str">
        <f aca="false">IF('DATA UNIT'!$B143="","",'DATA UNIT'!$B143)</f>
        <v/>
      </c>
      <c r="B2835" s="6" t="str">
        <f aca="false">IF($A2835="","",INDEX(PlanningItemsList,14))</f>
        <v/>
      </c>
      <c r="C2835" s="7"/>
      <c r="D2835" s="7"/>
    </row>
    <row r="2836" customFormat="false" ht="15" hidden="false" customHeight="false" outlineLevel="0" collapsed="false">
      <c r="A2836" s="6" t="str">
        <f aca="false">IF('DATA UNIT'!$B143="","",'DATA UNIT'!$B143)</f>
        <v/>
      </c>
      <c r="B2836" s="6" t="str">
        <f aca="false">IF($A2836="","",INDEX(PlanningItemsList,15))</f>
        <v/>
      </c>
      <c r="C2836" s="7"/>
      <c r="D2836" s="7"/>
    </row>
    <row r="2837" customFormat="false" ht="15" hidden="false" customHeight="false" outlineLevel="0" collapsed="false">
      <c r="A2837" s="6" t="str">
        <f aca="false">IF('DATA UNIT'!$B143="","",'DATA UNIT'!$B143)</f>
        <v/>
      </c>
      <c r="B2837" s="6" t="str">
        <f aca="false">IF($A2837="","",INDEX(PlanningItemsList,16))</f>
        <v/>
      </c>
      <c r="C2837" s="7"/>
      <c r="D2837" s="7"/>
    </row>
    <row r="2838" customFormat="false" ht="15" hidden="false" customHeight="false" outlineLevel="0" collapsed="false">
      <c r="A2838" s="6" t="str">
        <f aca="false">IF('DATA UNIT'!$B143="","",'DATA UNIT'!$B143)</f>
        <v/>
      </c>
      <c r="B2838" s="6" t="str">
        <f aca="false">IF($A2838="","",INDEX(PlanningItemsList,17))</f>
        <v/>
      </c>
      <c r="C2838" s="7"/>
      <c r="D2838" s="7"/>
    </row>
    <row r="2839" customFormat="false" ht="15" hidden="false" customHeight="false" outlineLevel="0" collapsed="false">
      <c r="A2839" s="6" t="str">
        <f aca="false">IF('DATA UNIT'!$B143="","",'DATA UNIT'!$B143)</f>
        <v/>
      </c>
      <c r="B2839" s="6" t="str">
        <f aca="false">IF($A2839="","",INDEX(PlanningItemsList,18))</f>
        <v/>
      </c>
      <c r="C2839" s="7"/>
      <c r="D2839" s="7"/>
    </row>
    <row r="2840" customFormat="false" ht="15" hidden="false" customHeight="false" outlineLevel="0" collapsed="false">
      <c r="A2840" s="6" t="str">
        <f aca="false">IF('DATA UNIT'!$B143="","",'DATA UNIT'!$B143)</f>
        <v/>
      </c>
      <c r="B2840" s="6" t="str">
        <f aca="false">IF($A2840="","",INDEX(PlanningItemsList,19))</f>
        <v/>
      </c>
      <c r="C2840" s="7"/>
      <c r="D2840" s="7"/>
    </row>
    <row r="2841" customFormat="false" ht="15" hidden="false" customHeight="false" outlineLevel="0" collapsed="false">
      <c r="A2841" s="6" t="str">
        <f aca="false">IF('DATA UNIT'!$B143="","",'DATA UNIT'!$B143)</f>
        <v/>
      </c>
      <c r="B2841" s="6" t="str">
        <f aca="false">IF($A2841="","",INDEX(PlanningItemsList,20))</f>
        <v/>
      </c>
      <c r="C2841" s="7"/>
      <c r="D2841" s="7"/>
    </row>
    <row r="2842" customFormat="false" ht="15" hidden="false" customHeight="false" outlineLevel="0" collapsed="false">
      <c r="A2842" s="6" t="str">
        <f aca="false">IF('DATA UNIT'!$B144="","",'DATA UNIT'!$B144)</f>
        <v/>
      </c>
      <c r="B2842" s="6" t="str">
        <f aca="false">IF($A2842="","",INDEX(PlanningItemsList,1))</f>
        <v/>
      </c>
      <c r="C2842" s="7"/>
      <c r="D2842" s="7"/>
    </row>
    <row r="2843" customFormat="false" ht="15" hidden="false" customHeight="false" outlineLevel="0" collapsed="false">
      <c r="A2843" s="6" t="str">
        <f aca="false">IF('DATA UNIT'!$B144="","",'DATA UNIT'!$B144)</f>
        <v/>
      </c>
      <c r="B2843" s="6" t="str">
        <f aca="false">IF($A2843="","",INDEX(PlanningItemsList,2))</f>
        <v/>
      </c>
      <c r="C2843" s="7"/>
      <c r="D2843" s="7"/>
    </row>
    <row r="2844" customFormat="false" ht="15" hidden="false" customHeight="false" outlineLevel="0" collapsed="false">
      <c r="A2844" s="6" t="str">
        <f aca="false">IF('DATA UNIT'!$B144="","",'DATA UNIT'!$B144)</f>
        <v/>
      </c>
      <c r="B2844" s="6" t="str">
        <f aca="false">IF($A2844="","",INDEX(PlanningItemsList,3))</f>
        <v/>
      </c>
      <c r="C2844" s="7"/>
      <c r="D2844" s="7"/>
    </row>
    <row r="2845" customFormat="false" ht="15" hidden="false" customHeight="false" outlineLevel="0" collapsed="false">
      <c r="A2845" s="6" t="str">
        <f aca="false">IF('DATA UNIT'!$B144="","",'DATA UNIT'!$B144)</f>
        <v/>
      </c>
      <c r="B2845" s="6" t="str">
        <f aca="false">IF($A2845="","",INDEX(PlanningItemsList,4))</f>
        <v/>
      </c>
      <c r="C2845" s="7"/>
      <c r="D2845" s="7"/>
    </row>
    <row r="2846" customFormat="false" ht="15" hidden="false" customHeight="false" outlineLevel="0" collapsed="false">
      <c r="A2846" s="6" t="str">
        <f aca="false">IF('DATA UNIT'!$B144="","",'DATA UNIT'!$B144)</f>
        <v/>
      </c>
      <c r="B2846" s="6" t="str">
        <f aca="false">IF($A2846="","",INDEX(PlanningItemsList,5))</f>
        <v/>
      </c>
      <c r="C2846" s="7"/>
      <c r="D2846" s="7"/>
    </row>
    <row r="2847" customFormat="false" ht="15" hidden="false" customHeight="false" outlineLevel="0" collapsed="false">
      <c r="A2847" s="6" t="str">
        <f aca="false">IF('DATA UNIT'!$B144="","",'DATA UNIT'!$B144)</f>
        <v/>
      </c>
      <c r="B2847" s="6" t="str">
        <f aca="false">IF($A2847="","",INDEX(PlanningItemsList,6))</f>
        <v/>
      </c>
      <c r="C2847" s="7"/>
      <c r="D2847" s="7"/>
    </row>
    <row r="2848" customFormat="false" ht="15" hidden="false" customHeight="false" outlineLevel="0" collapsed="false">
      <c r="A2848" s="6" t="str">
        <f aca="false">IF('DATA UNIT'!$B144="","",'DATA UNIT'!$B144)</f>
        <v/>
      </c>
      <c r="B2848" s="6" t="str">
        <f aca="false">IF($A2848="","",INDEX(PlanningItemsList,7))</f>
        <v/>
      </c>
      <c r="C2848" s="7"/>
      <c r="D2848" s="7"/>
    </row>
    <row r="2849" customFormat="false" ht="15" hidden="false" customHeight="false" outlineLevel="0" collapsed="false">
      <c r="A2849" s="6" t="str">
        <f aca="false">IF('DATA UNIT'!$B144="","",'DATA UNIT'!$B144)</f>
        <v/>
      </c>
      <c r="B2849" s="6" t="str">
        <f aca="false">IF($A2849="","",INDEX(PlanningItemsList,8))</f>
        <v/>
      </c>
      <c r="C2849" s="7"/>
      <c r="D2849" s="7"/>
    </row>
    <row r="2850" customFormat="false" ht="15" hidden="false" customHeight="false" outlineLevel="0" collapsed="false">
      <c r="A2850" s="6" t="str">
        <f aca="false">IF('DATA UNIT'!$B144="","",'DATA UNIT'!$B144)</f>
        <v/>
      </c>
      <c r="B2850" s="6" t="str">
        <f aca="false">IF($A2850="","",INDEX(PlanningItemsList,9))</f>
        <v/>
      </c>
      <c r="C2850" s="7"/>
      <c r="D2850" s="7"/>
    </row>
    <row r="2851" customFormat="false" ht="15" hidden="false" customHeight="false" outlineLevel="0" collapsed="false">
      <c r="A2851" s="6" t="str">
        <f aca="false">IF('DATA UNIT'!$B144="","",'DATA UNIT'!$B144)</f>
        <v/>
      </c>
      <c r="B2851" s="6" t="str">
        <f aca="false">IF($A2851="","",INDEX(PlanningItemsList,10))</f>
        <v/>
      </c>
      <c r="C2851" s="7"/>
      <c r="D2851" s="7"/>
    </row>
    <row r="2852" customFormat="false" ht="15" hidden="false" customHeight="false" outlineLevel="0" collapsed="false">
      <c r="A2852" s="6" t="str">
        <f aca="false">IF('DATA UNIT'!$B144="","",'DATA UNIT'!$B144)</f>
        <v/>
      </c>
      <c r="B2852" s="6" t="str">
        <f aca="false">IF($A2852="","",INDEX(PlanningItemsList,11))</f>
        <v/>
      </c>
      <c r="C2852" s="7"/>
      <c r="D2852" s="7"/>
    </row>
    <row r="2853" customFormat="false" ht="15" hidden="false" customHeight="false" outlineLevel="0" collapsed="false">
      <c r="A2853" s="6" t="str">
        <f aca="false">IF('DATA UNIT'!$B144="","",'DATA UNIT'!$B144)</f>
        <v/>
      </c>
      <c r="B2853" s="6" t="str">
        <f aca="false">IF($A2853="","",INDEX(PlanningItemsList,12))</f>
        <v/>
      </c>
      <c r="C2853" s="7"/>
      <c r="D2853" s="7"/>
    </row>
    <row r="2854" customFormat="false" ht="15" hidden="false" customHeight="false" outlineLevel="0" collapsed="false">
      <c r="A2854" s="6" t="str">
        <f aca="false">IF('DATA UNIT'!$B144="","",'DATA UNIT'!$B144)</f>
        <v/>
      </c>
      <c r="B2854" s="6" t="str">
        <f aca="false">IF($A2854="","",INDEX(PlanningItemsList,13))</f>
        <v/>
      </c>
      <c r="C2854" s="7"/>
      <c r="D2854" s="7"/>
    </row>
    <row r="2855" customFormat="false" ht="15" hidden="false" customHeight="false" outlineLevel="0" collapsed="false">
      <c r="A2855" s="6" t="str">
        <f aca="false">IF('DATA UNIT'!$B144="","",'DATA UNIT'!$B144)</f>
        <v/>
      </c>
      <c r="B2855" s="6" t="str">
        <f aca="false">IF($A2855="","",INDEX(PlanningItemsList,14))</f>
        <v/>
      </c>
      <c r="C2855" s="7"/>
      <c r="D2855" s="7"/>
    </row>
    <row r="2856" customFormat="false" ht="15" hidden="false" customHeight="false" outlineLevel="0" collapsed="false">
      <c r="A2856" s="6" t="str">
        <f aca="false">IF('DATA UNIT'!$B144="","",'DATA UNIT'!$B144)</f>
        <v/>
      </c>
      <c r="B2856" s="6" t="str">
        <f aca="false">IF($A2856="","",INDEX(PlanningItemsList,15))</f>
        <v/>
      </c>
      <c r="C2856" s="7"/>
      <c r="D2856" s="7"/>
    </row>
    <row r="2857" customFormat="false" ht="15" hidden="false" customHeight="false" outlineLevel="0" collapsed="false">
      <c r="A2857" s="6" t="str">
        <f aca="false">IF('DATA UNIT'!$B144="","",'DATA UNIT'!$B144)</f>
        <v/>
      </c>
      <c r="B2857" s="6" t="str">
        <f aca="false">IF($A2857="","",INDEX(PlanningItemsList,16))</f>
        <v/>
      </c>
      <c r="C2857" s="7"/>
      <c r="D2857" s="7"/>
    </row>
    <row r="2858" customFormat="false" ht="15" hidden="false" customHeight="false" outlineLevel="0" collapsed="false">
      <c r="A2858" s="6" t="str">
        <f aca="false">IF('DATA UNIT'!$B144="","",'DATA UNIT'!$B144)</f>
        <v/>
      </c>
      <c r="B2858" s="6" t="str">
        <f aca="false">IF($A2858="","",INDEX(PlanningItemsList,17))</f>
        <v/>
      </c>
      <c r="C2858" s="7"/>
      <c r="D2858" s="7"/>
    </row>
    <row r="2859" customFormat="false" ht="15" hidden="false" customHeight="false" outlineLevel="0" collapsed="false">
      <c r="A2859" s="6" t="str">
        <f aca="false">IF('DATA UNIT'!$B144="","",'DATA UNIT'!$B144)</f>
        <v/>
      </c>
      <c r="B2859" s="6" t="str">
        <f aca="false">IF($A2859="","",INDEX(PlanningItemsList,18))</f>
        <v/>
      </c>
      <c r="C2859" s="7"/>
      <c r="D2859" s="7"/>
    </row>
    <row r="2860" customFormat="false" ht="15" hidden="false" customHeight="false" outlineLevel="0" collapsed="false">
      <c r="A2860" s="6" t="str">
        <f aca="false">IF('DATA UNIT'!$B144="","",'DATA UNIT'!$B144)</f>
        <v/>
      </c>
      <c r="B2860" s="6" t="str">
        <f aca="false">IF($A2860="","",INDEX(PlanningItemsList,19))</f>
        <v/>
      </c>
      <c r="C2860" s="7"/>
      <c r="D2860" s="7"/>
    </row>
    <row r="2861" customFormat="false" ht="15" hidden="false" customHeight="false" outlineLevel="0" collapsed="false">
      <c r="A2861" s="6" t="str">
        <f aca="false">IF('DATA UNIT'!$B144="","",'DATA UNIT'!$B144)</f>
        <v/>
      </c>
      <c r="B2861" s="6" t="str">
        <f aca="false">IF($A2861="","",INDEX(PlanningItemsList,20))</f>
        <v/>
      </c>
      <c r="C2861" s="7"/>
      <c r="D2861" s="7"/>
    </row>
    <row r="2862" customFormat="false" ht="15" hidden="false" customHeight="false" outlineLevel="0" collapsed="false">
      <c r="A2862" s="6" t="str">
        <f aca="false">IF('DATA UNIT'!$B145="","",'DATA UNIT'!$B145)</f>
        <v/>
      </c>
      <c r="B2862" s="6" t="str">
        <f aca="false">IF($A2862="","",INDEX(PlanningItemsList,1))</f>
        <v/>
      </c>
      <c r="C2862" s="7"/>
      <c r="D2862" s="7"/>
    </row>
    <row r="2863" customFormat="false" ht="15" hidden="false" customHeight="false" outlineLevel="0" collapsed="false">
      <c r="A2863" s="6" t="str">
        <f aca="false">IF('DATA UNIT'!$B145="","",'DATA UNIT'!$B145)</f>
        <v/>
      </c>
      <c r="B2863" s="6" t="str">
        <f aca="false">IF($A2863="","",INDEX(PlanningItemsList,2))</f>
        <v/>
      </c>
      <c r="C2863" s="7"/>
      <c r="D2863" s="7"/>
    </row>
    <row r="2864" customFormat="false" ht="15" hidden="false" customHeight="false" outlineLevel="0" collapsed="false">
      <c r="A2864" s="6" t="str">
        <f aca="false">IF('DATA UNIT'!$B145="","",'DATA UNIT'!$B145)</f>
        <v/>
      </c>
      <c r="B2864" s="6" t="str">
        <f aca="false">IF($A2864="","",INDEX(PlanningItemsList,3))</f>
        <v/>
      </c>
      <c r="C2864" s="7"/>
      <c r="D2864" s="7"/>
    </row>
    <row r="2865" customFormat="false" ht="15" hidden="false" customHeight="false" outlineLevel="0" collapsed="false">
      <c r="A2865" s="6" t="str">
        <f aca="false">IF('DATA UNIT'!$B145="","",'DATA UNIT'!$B145)</f>
        <v/>
      </c>
      <c r="B2865" s="6" t="str">
        <f aca="false">IF($A2865="","",INDEX(PlanningItemsList,4))</f>
        <v/>
      </c>
      <c r="C2865" s="7"/>
      <c r="D2865" s="7"/>
    </row>
    <row r="2866" customFormat="false" ht="15" hidden="false" customHeight="false" outlineLevel="0" collapsed="false">
      <c r="A2866" s="6" t="str">
        <f aca="false">IF('DATA UNIT'!$B145="","",'DATA UNIT'!$B145)</f>
        <v/>
      </c>
      <c r="B2866" s="6" t="str">
        <f aca="false">IF($A2866="","",INDEX(PlanningItemsList,5))</f>
        <v/>
      </c>
      <c r="C2866" s="7"/>
      <c r="D2866" s="7"/>
    </row>
    <row r="2867" customFormat="false" ht="15" hidden="false" customHeight="false" outlineLevel="0" collapsed="false">
      <c r="A2867" s="6" t="str">
        <f aca="false">IF('DATA UNIT'!$B145="","",'DATA UNIT'!$B145)</f>
        <v/>
      </c>
      <c r="B2867" s="6" t="str">
        <f aca="false">IF($A2867="","",INDEX(PlanningItemsList,6))</f>
        <v/>
      </c>
      <c r="C2867" s="7"/>
      <c r="D2867" s="7"/>
    </row>
    <row r="2868" customFormat="false" ht="15" hidden="false" customHeight="false" outlineLevel="0" collapsed="false">
      <c r="A2868" s="6" t="str">
        <f aca="false">IF('DATA UNIT'!$B145="","",'DATA UNIT'!$B145)</f>
        <v/>
      </c>
      <c r="B2868" s="6" t="str">
        <f aca="false">IF($A2868="","",INDEX(PlanningItemsList,7))</f>
        <v/>
      </c>
      <c r="C2868" s="7"/>
      <c r="D2868" s="7"/>
    </row>
    <row r="2869" customFormat="false" ht="15" hidden="false" customHeight="false" outlineLevel="0" collapsed="false">
      <c r="A2869" s="6" t="str">
        <f aca="false">IF('DATA UNIT'!$B145="","",'DATA UNIT'!$B145)</f>
        <v/>
      </c>
      <c r="B2869" s="6" t="str">
        <f aca="false">IF($A2869="","",INDEX(PlanningItemsList,8))</f>
        <v/>
      </c>
      <c r="C2869" s="7"/>
      <c r="D2869" s="7"/>
    </row>
    <row r="2870" customFormat="false" ht="15" hidden="false" customHeight="false" outlineLevel="0" collapsed="false">
      <c r="A2870" s="6" t="str">
        <f aca="false">IF('DATA UNIT'!$B145="","",'DATA UNIT'!$B145)</f>
        <v/>
      </c>
      <c r="B2870" s="6" t="str">
        <f aca="false">IF($A2870="","",INDEX(PlanningItemsList,9))</f>
        <v/>
      </c>
      <c r="C2870" s="7"/>
      <c r="D2870" s="7"/>
    </row>
    <row r="2871" customFormat="false" ht="15" hidden="false" customHeight="false" outlineLevel="0" collapsed="false">
      <c r="A2871" s="6" t="str">
        <f aca="false">IF('DATA UNIT'!$B145="","",'DATA UNIT'!$B145)</f>
        <v/>
      </c>
      <c r="B2871" s="6" t="str">
        <f aca="false">IF($A2871="","",INDEX(PlanningItemsList,10))</f>
        <v/>
      </c>
      <c r="C2871" s="7"/>
      <c r="D2871" s="7"/>
    </row>
    <row r="2872" customFormat="false" ht="15" hidden="false" customHeight="false" outlineLevel="0" collapsed="false">
      <c r="A2872" s="6" t="str">
        <f aca="false">IF('DATA UNIT'!$B145="","",'DATA UNIT'!$B145)</f>
        <v/>
      </c>
      <c r="B2872" s="6" t="str">
        <f aca="false">IF($A2872="","",INDEX(PlanningItemsList,11))</f>
        <v/>
      </c>
      <c r="C2872" s="7"/>
      <c r="D2872" s="7"/>
    </row>
    <row r="2873" customFormat="false" ht="15" hidden="false" customHeight="false" outlineLevel="0" collapsed="false">
      <c r="A2873" s="6" t="str">
        <f aca="false">IF('DATA UNIT'!$B145="","",'DATA UNIT'!$B145)</f>
        <v/>
      </c>
      <c r="B2873" s="6" t="str">
        <f aca="false">IF($A2873="","",INDEX(PlanningItemsList,12))</f>
        <v/>
      </c>
      <c r="C2873" s="7"/>
      <c r="D2873" s="7"/>
    </row>
    <row r="2874" customFormat="false" ht="15" hidden="false" customHeight="false" outlineLevel="0" collapsed="false">
      <c r="A2874" s="6" t="str">
        <f aca="false">IF('DATA UNIT'!$B145="","",'DATA UNIT'!$B145)</f>
        <v/>
      </c>
      <c r="B2874" s="6" t="str">
        <f aca="false">IF($A2874="","",INDEX(PlanningItemsList,13))</f>
        <v/>
      </c>
      <c r="C2874" s="7"/>
      <c r="D2874" s="7"/>
    </row>
    <row r="2875" customFormat="false" ht="15" hidden="false" customHeight="false" outlineLevel="0" collapsed="false">
      <c r="A2875" s="6" t="str">
        <f aca="false">IF('DATA UNIT'!$B145="","",'DATA UNIT'!$B145)</f>
        <v/>
      </c>
      <c r="B2875" s="6" t="str">
        <f aca="false">IF($A2875="","",INDEX(PlanningItemsList,14))</f>
        <v/>
      </c>
      <c r="C2875" s="7"/>
      <c r="D2875" s="7"/>
    </row>
    <row r="2876" customFormat="false" ht="15" hidden="false" customHeight="false" outlineLevel="0" collapsed="false">
      <c r="A2876" s="6" t="str">
        <f aca="false">IF('DATA UNIT'!$B145="","",'DATA UNIT'!$B145)</f>
        <v/>
      </c>
      <c r="B2876" s="6" t="str">
        <f aca="false">IF($A2876="","",INDEX(PlanningItemsList,15))</f>
        <v/>
      </c>
      <c r="C2876" s="7"/>
      <c r="D2876" s="7"/>
    </row>
    <row r="2877" customFormat="false" ht="15" hidden="false" customHeight="false" outlineLevel="0" collapsed="false">
      <c r="A2877" s="6" t="str">
        <f aca="false">IF('DATA UNIT'!$B145="","",'DATA UNIT'!$B145)</f>
        <v/>
      </c>
      <c r="B2877" s="6" t="str">
        <f aca="false">IF($A2877="","",INDEX(PlanningItemsList,16))</f>
        <v/>
      </c>
      <c r="C2877" s="7"/>
      <c r="D2877" s="7"/>
    </row>
    <row r="2878" customFormat="false" ht="15" hidden="false" customHeight="false" outlineLevel="0" collapsed="false">
      <c r="A2878" s="6" t="str">
        <f aca="false">IF('DATA UNIT'!$B145="","",'DATA UNIT'!$B145)</f>
        <v/>
      </c>
      <c r="B2878" s="6" t="str">
        <f aca="false">IF($A2878="","",INDEX(PlanningItemsList,17))</f>
        <v/>
      </c>
      <c r="C2878" s="7"/>
      <c r="D2878" s="7"/>
    </row>
    <row r="2879" customFormat="false" ht="15" hidden="false" customHeight="false" outlineLevel="0" collapsed="false">
      <c r="A2879" s="6" t="str">
        <f aca="false">IF('DATA UNIT'!$B145="","",'DATA UNIT'!$B145)</f>
        <v/>
      </c>
      <c r="B2879" s="6" t="str">
        <f aca="false">IF($A2879="","",INDEX(PlanningItemsList,18))</f>
        <v/>
      </c>
      <c r="C2879" s="7"/>
      <c r="D2879" s="7"/>
    </row>
    <row r="2880" customFormat="false" ht="15" hidden="false" customHeight="false" outlineLevel="0" collapsed="false">
      <c r="A2880" s="6" t="str">
        <f aca="false">IF('DATA UNIT'!$B145="","",'DATA UNIT'!$B145)</f>
        <v/>
      </c>
      <c r="B2880" s="6" t="str">
        <f aca="false">IF($A2880="","",INDEX(PlanningItemsList,19))</f>
        <v/>
      </c>
      <c r="C2880" s="7"/>
      <c r="D2880" s="7"/>
    </row>
    <row r="2881" customFormat="false" ht="15" hidden="false" customHeight="false" outlineLevel="0" collapsed="false">
      <c r="A2881" s="6" t="str">
        <f aca="false">IF('DATA UNIT'!$B145="","",'DATA UNIT'!$B145)</f>
        <v/>
      </c>
      <c r="B2881" s="6" t="str">
        <f aca="false">IF($A2881="","",INDEX(PlanningItemsList,20))</f>
        <v/>
      </c>
      <c r="C2881" s="7"/>
      <c r="D2881" s="7"/>
    </row>
    <row r="2882" customFormat="false" ht="15" hidden="false" customHeight="false" outlineLevel="0" collapsed="false">
      <c r="A2882" s="6" t="str">
        <f aca="false">IF('DATA UNIT'!$B146="","",'DATA UNIT'!$B146)</f>
        <v/>
      </c>
      <c r="B2882" s="6" t="str">
        <f aca="false">IF($A2882="","",INDEX(PlanningItemsList,1))</f>
        <v/>
      </c>
      <c r="C2882" s="7"/>
      <c r="D2882" s="7"/>
    </row>
    <row r="2883" customFormat="false" ht="15" hidden="false" customHeight="false" outlineLevel="0" collapsed="false">
      <c r="A2883" s="6" t="str">
        <f aca="false">IF('DATA UNIT'!$B146="","",'DATA UNIT'!$B146)</f>
        <v/>
      </c>
      <c r="B2883" s="6" t="str">
        <f aca="false">IF($A2883="","",INDEX(PlanningItemsList,2))</f>
        <v/>
      </c>
      <c r="C2883" s="7"/>
      <c r="D2883" s="7"/>
    </row>
    <row r="2884" customFormat="false" ht="15" hidden="false" customHeight="false" outlineLevel="0" collapsed="false">
      <c r="A2884" s="6" t="str">
        <f aca="false">IF('DATA UNIT'!$B146="","",'DATA UNIT'!$B146)</f>
        <v/>
      </c>
      <c r="B2884" s="6" t="str">
        <f aca="false">IF($A2884="","",INDEX(PlanningItemsList,3))</f>
        <v/>
      </c>
      <c r="C2884" s="7"/>
      <c r="D2884" s="7"/>
    </row>
    <row r="2885" customFormat="false" ht="15" hidden="false" customHeight="false" outlineLevel="0" collapsed="false">
      <c r="A2885" s="6" t="str">
        <f aca="false">IF('DATA UNIT'!$B146="","",'DATA UNIT'!$B146)</f>
        <v/>
      </c>
      <c r="B2885" s="6" t="str">
        <f aca="false">IF($A2885="","",INDEX(PlanningItemsList,4))</f>
        <v/>
      </c>
      <c r="C2885" s="7"/>
      <c r="D2885" s="7"/>
    </row>
    <row r="2886" customFormat="false" ht="15" hidden="false" customHeight="false" outlineLevel="0" collapsed="false">
      <c r="A2886" s="6" t="str">
        <f aca="false">IF('DATA UNIT'!$B146="","",'DATA UNIT'!$B146)</f>
        <v/>
      </c>
      <c r="B2886" s="6" t="str">
        <f aca="false">IF($A2886="","",INDEX(PlanningItemsList,5))</f>
        <v/>
      </c>
      <c r="C2886" s="7"/>
      <c r="D2886" s="7"/>
    </row>
    <row r="2887" customFormat="false" ht="15" hidden="false" customHeight="false" outlineLevel="0" collapsed="false">
      <c r="A2887" s="6" t="str">
        <f aca="false">IF('DATA UNIT'!$B146="","",'DATA UNIT'!$B146)</f>
        <v/>
      </c>
      <c r="B2887" s="6" t="str">
        <f aca="false">IF($A2887="","",INDEX(PlanningItemsList,6))</f>
        <v/>
      </c>
      <c r="C2887" s="7"/>
      <c r="D2887" s="7"/>
    </row>
    <row r="2888" customFormat="false" ht="15" hidden="false" customHeight="false" outlineLevel="0" collapsed="false">
      <c r="A2888" s="6" t="str">
        <f aca="false">IF('DATA UNIT'!$B146="","",'DATA UNIT'!$B146)</f>
        <v/>
      </c>
      <c r="B2888" s="6" t="str">
        <f aca="false">IF($A2888="","",INDEX(PlanningItemsList,7))</f>
        <v/>
      </c>
      <c r="C2888" s="7"/>
      <c r="D2888" s="7"/>
    </row>
    <row r="2889" customFormat="false" ht="15" hidden="false" customHeight="false" outlineLevel="0" collapsed="false">
      <c r="A2889" s="6" t="str">
        <f aca="false">IF('DATA UNIT'!$B146="","",'DATA UNIT'!$B146)</f>
        <v/>
      </c>
      <c r="B2889" s="6" t="str">
        <f aca="false">IF($A2889="","",INDEX(PlanningItemsList,8))</f>
        <v/>
      </c>
      <c r="C2889" s="7"/>
      <c r="D2889" s="7"/>
    </row>
    <row r="2890" customFormat="false" ht="15" hidden="false" customHeight="false" outlineLevel="0" collapsed="false">
      <c r="A2890" s="6" t="str">
        <f aca="false">IF('DATA UNIT'!$B146="","",'DATA UNIT'!$B146)</f>
        <v/>
      </c>
      <c r="B2890" s="6" t="str">
        <f aca="false">IF($A2890="","",INDEX(PlanningItemsList,9))</f>
        <v/>
      </c>
      <c r="C2890" s="7"/>
      <c r="D2890" s="7"/>
    </row>
    <row r="2891" customFormat="false" ht="15" hidden="false" customHeight="false" outlineLevel="0" collapsed="false">
      <c r="A2891" s="6" t="str">
        <f aca="false">IF('DATA UNIT'!$B146="","",'DATA UNIT'!$B146)</f>
        <v/>
      </c>
      <c r="B2891" s="6" t="str">
        <f aca="false">IF($A2891="","",INDEX(PlanningItemsList,10))</f>
        <v/>
      </c>
      <c r="C2891" s="7"/>
      <c r="D2891" s="7"/>
    </row>
    <row r="2892" customFormat="false" ht="15" hidden="false" customHeight="false" outlineLevel="0" collapsed="false">
      <c r="A2892" s="6" t="str">
        <f aca="false">IF('DATA UNIT'!$B146="","",'DATA UNIT'!$B146)</f>
        <v/>
      </c>
      <c r="B2892" s="6" t="str">
        <f aca="false">IF($A2892="","",INDEX(PlanningItemsList,11))</f>
        <v/>
      </c>
      <c r="C2892" s="7"/>
      <c r="D2892" s="7"/>
    </row>
    <row r="2893" customFormat="false" ht="15" hidden="false" customHeight="false" outlineLevel="0" collapsed="false">
      <c r="A2893" s="6" t="str">
        <f aca="false">IF('DATA UNIT'!$B146="","",'DATA UNIT'!$B146)</f>
        <v/>
      </c>
      <c r="B2893" s="6" t="str">
        <f aca="false">IF($A2893="","",INDEX(PlanningItemsList,12))</f>
        <v/>
      </c>
      <c r="C2893" s="7"/>
      <c r="D2893" s="7"/>
    </row>
    <row r="2894" customFormat="false" ht="15" hidden="false" customHeight="false" outlineLevel="0" collapsed="false">
      <c r="A2894" s="6" t="str">
        <f aca="false">IF('DATA UNIT'!$B146="","",'DATA UNIT'!$B146)</f>
        <v/>
      </c>
      <c r="B2894" s="6" t="str">
        <f aca="false">IF($A2894="","",INDEX(PlanningItemsList,13))</f>
        <v/>
      </c>
      <c r="C2894" s="7"/>
      <c r="D2894" s="7"/>
    </row>
    <row r="2895" customFormat="false" ht="15" hidden="false" customHeight="false" outlineLevel="0" collapsed="false">
      <c r="A2895" s="6" t="str">
        <f aca="false">IF('DATA UNIT'!$B146="","",'DATA UNIT'!$B146)</f>
        <v/>
      </c>
      <c r="B2895" s="6" t="str">
        <f aca="false">IF($A2895="","",INDEX(PlanningItemsList,14))</f>
        <v/>
      </c>
      <c r="C2895" s="7"/>
      <c r="D2895" s="7"/>
    </row>
    <row r="2896" customFormat="false" ht="15" hidden="false" customHeight="false" outlineLevel="0" collapsed="false">
      <c r="A2896" s="6" t="str">
        <f aca="false">IF('DATA UNIT'!$B146="","",'DATA UNIT'!$B146)</f>
        <v/>
      </c>
      <c r="B2896" s="6" t="str">
        <f aca="false">IF($A2896="","",INDEX(PlanningItemsList,15))</f>
        <v/>
      </c>
      <c r="C2896" s="7"/>
      <c r="D2896" s="7"/>
    </row>
    <row r="2897" customFormat="false" ht="15" hidden="false" customHeight="false" outlineLevel="0" collapsed="false">
      <c r="A2897" s="6" t="str">
        <f aca="false">IF('DATA UNIT'!$B146="","",'DATA UNIT'!$B146)</f>
        <v/>
      </c>
      <c r="B2897" s="6" t="str">
        <f aca="false">IF($A2897="","",INDEX(PlanningItemsList,16))</f>
        <v/>
      </c>
      <c r="C2897" s="7"/>
      <c r="D2897" s="7"/>
    </row>
    <row r="2898" customFormat="false" ht="15" hidden="false" customHeight="false" outlineLevel="0" collapsed="false">
      <c r="A2898" s="6" t="str">
        <f aca="false">IF('DATA UNIT'!$B146="","",'DATA UNIT'!$B146)</f>
        <v/>
      </c>
      <c r="B2898" s="6" t="str">
        <f aca="false">IF($A2898="","",INDEX(PlanningItemsList,17))</f>
        <v/>
      </c>
      <c r="C2898" s="7"/>
      <c r="D2898" s="7"/>
    </row>
    <row r="2899" customFormat="false" ht="15" hidden="false" customHeight="false" outlineLevel="0" collapsed="false">
      <c r="A2899" s="6" t="str">
        <f aca="false">IF('DATA UNIT'!$B146="","",'DATA UNIT'!$B146)</f>
        <v/>
      </c>
      <c r="B2899" s="6" t="str">
        <f aca="false">IF($A2899="","",INDEX(PlanningItemsList,18))</f>
        <v/>
      </c>
      <c r="C2899" s="7"/>
      <c r="D2899" s="7"/>
    </row>
    <row r="2900" customFormat="false" ht="15" hidden="false" customHeight="false" outlineLevel="0" collapsed="false">
      <c r="A2900" s="6" t="str">
        <f aca="false">IF('DATA UNIT'!$B146="","",'DATA UNIT'!$B146)</f>
        <v/>
      </c>
      <c r="B2900" s="6" t="str">
        <f aca="false">IF($A2900="","",INDEX(PlanningItemsList,19))</f>
        <v/>
      </c>
      <c r="C2900" s="7"/>
      <c r="D2900" s="7"/>
    </row>
    <row r="2901" customFormat="false" ht="15" hidden="false" customHeight="false" outlineLevel="0" collapsed="false">
      <c r="A2901" s="6" t="str">
        <f aca="false">IF('DATA UNIT'!$B146="","",'DATA UNIT'!$B146)</f>
        <v/>
      </c>
      <c r="B2901" s="6" t="str">
        <f aca="false">IF($A2901="","",INDEX(PlanningItemsList,20))</f>
        <v/>
      </c>
      <c r="C2901" s="7"/>
      <c r="D2901" s="7"/>
    </row>
    <row r="2902" customFormat="false" ht="15" hidden="false" customHeight="false" outlineLevel="0" collapsed="false">
      <c r="A2902" s="6" t="str">
        <f aca="false">IF('DATA UNIT'!$B147="","",'DATA UNIT'!$B147)</f>
        <v/>
      </c>
      <c r="B2902" s="6" t="str">
        <f aca="false">IF($A2902="","",INDEX(PlanningItemsList,1))</f>
        <v/>
      </c>
      <c r="C2902" s="7"/>
      <c r="D2902" s="7"/>
    </row>
    <row r="2903" customFormat="false" ht="15" hidden="false" customHeight="false" outlineLevel="0" collapsed="false">
      <c r="A2903" s="6" t="str">
        <f aca="false">IF('DATA UNIT'!$B147="","",'DATA UNIT'!$B147)</f>
        <v/>
      </c>
      <c r="B2903" s="6" t="str">
        <f aca="false">IF($A2903="","",INDEX(PlanningItemsList,2))</f>
        <v/>
      </c>
      <c r="C2903" s="7"/>
      <c r="D2903" s="7"/>
    </row>
    <row r="2904" customFormat="false" ht="15" hidden="false" customHeight="false" outlineLevel="0" collapsed="false">
      <c r="A2904" s="6" t="str">
        <f aca="false">IF('DATA UNIT'!$B147="","",'DATA UNIT'!$B147)</f>
        <v/>
      </c>
      <c r="B2904" s="6" t="str">
        <f aca="false">IF($A2904="","",INDEX(PlanningItemsList,3))</f>
        <v/>
      </c>
      <c r="C2904" s="7"/>
      <c r="D2904" s="7"/>
    </row>
    <row r="2905" customFormat="false" ht="15" hidden="false" customHeight="false" outlineLevel="0" collapsed="false">
      <c r="A2905" s="6" t="str">
        <f aca="false">IF('DATA UNIT'!$B147="","",'DATA UNIT'!$B147)</f>
        <v/>
      </c>
      <c r="B2905" s="6" t="str">
        <f aca="false">IF($A2905="","",INDEX(PlanningItemsList,4))</f>
        <v/>
      </c>
      <c r="C2905" s="7"/>
      <c r="D2905" s="7"/>
    </row>
    <row r="2906" customFormat="false" ht="15" hidden="false" customHeight="false" outlineLevel="0" collapsed="false">
      <c r="A2906" s="6" t="str">
        <f aca="false">IF('DATA UNIT'!$B147="","",'DATA UNIT'!$B147)</f>
        <v/>
      </c>
      <c r="B2906" s="6" t="str">
        <f aca="false">IF($A2906="","",INDEX(PlanningItemsList,5))</f>
        <v/>
      </c>
      <c r="C2906" s="7"/>
      <c r="D2906" s="7"/>
    </row>
    <row r="2907" customFormat="false" ht="15" hidden="false" customHeight="false" outlineLevel="0" collapsed="false">
      <c r="A2907" s="6" t="str">
        <f aca="false">IF('DATA UNIT'!$B147="","",'DATA UNIT'!$B147)</f>
        <v/>
      </c>
      <c r="B2907" s="6" t="str">
        <f aca="false">IF($A2907="","",INDEX(PlanningItemsList,6))</f>
        <v/>
      </c>
      <c r="C2907" s="7"/>
      <c r="D2907" s="7"/>
    </row>
    <row r="2908" customFormat="false" ht="15" hidden="false" customHeight="false" outlineLevel="0" collapsed="false">
      <c r="A2908" s="6" t="str">
        <f aca="false">IF('DATA UNIT'!$B147="","",'DATA UNIT'!$B147)</f>
        <v/>
      </c>
      <c r="B2908" s="6" t="str">
        <f aca="false">IF($A2908="","",INDEX(PlanningItemsList,7))</f>
        <v/>
      </c>
      <c r="C2908" s="7"/>
      <c r="D2908" s="7"/>
    </row>
    <row r="2909" customFormat="false" ht="15" hidden="false" customHeight="false" outlineLevel="0" collapsed="false">
      <c r="A2909" s="6" t="str">
        <f aca="false">IF('DATA UNIT'!$B147="","",'DATA UNIT'!$B147)</f>
        <v/>
      </c>
      <c r="B2909" s="6" t="str">
        <f aca="false">IF($A2909="","",INDEX(PlanningItemsList,8))</f>
        <v/>
      </c>
      <c r="C2909" s="7"/>
      <c r="D2909" s="7"/>
    </row>
    <row r="2910" customFormat="false" ht="15" hidden="false" customHeight="false" outlineLevel="0" collapsed="false">
      <c r="A2910" s="6" t="str">
        <f aca="false">IF('DATA UNIT'!$B147="","",'DATA UNIT'!$B147)</f>
        <v/>
      </c>
      <c r="B2910" s="6" t="str">
        <f aca="false">IF($A2910="","",INDEX(PlanningItemsList,9))</f>
        <v/>
      </c>
      <c r="C2910" s="7"/>
      <c r="D2910" s="7"/>
    </row>
    <row r="2911" customFormat="false" ht="15" hidden="false" customHeight="false" outlineLevel="0" collapsed="false">
      <c r="A2911" s="6" t="str">
        <f aca="false">IF('DATA UNIT'!$B147="","",'DATA UNIT'!$B147)</f>
        <v/>
      </c>
      <c r="B2911" s="6" t="str">
        <f aca="false">IF($A2911="","",INDEX(PlanningItemsList,10))</f>
        <v/>
      </c>
      <c r="C2911" s="7"/>
      <c r="D2911" s="7"/>
    </row>
    <row r="2912" customFormat="false" ht="15" hidden="false" customHeight="false" outlineLevel="0" collapsed="false">
      <c r="A2912" s="6" t="str">
        <f aca="false">IF('DATA UNIT'!$B147="","",'DATA UNIT'!$B147)</f>
        <v/>
      </c>
      <c r="B2912" s="6" t="str">
        <f aca="false">IF($A2912="","",INDEX(PlanningItemsList,11))</f>
        <v/>
      </c>
      <c r="C2912" s="7"/>
      <c r="D2912" s="7"/>
    </row>
    <row r="2913" customFormat="false" ht="15" hidden="false" customHeight="false" outlineLevel="0" collapsed="false">
      <c r="A2913" s="6" t="str">
        <f aca="false">IF('DATA UNIT'!$B147="","",'DATA UNIT'!$B147)</f>
        <v/>
      </c>
      <c r="B2913" s="6" t="str">
        <f aca="false">IF($A2913="","",INDEX(PlanningItemsList,12))</f>
        <v/>
      </c>
      <c r="C2913" s="7"/>
      <c r="D2913" s="7"/>
    </row>
    <row r="2914" customFormat="false" ht="15" hidden="false" customHeight="false" outlineLevel="0" collapsed="false">
      <c r="A2914" s="6" t="str">
        <f aca="false">IF('DATA UNIT'!$B147="","",'DATA UNIT'!$B147)</f>
        <v/>
      </c>
      <c r="B2914" s="6" t="str">
        <f aca="false">IF($A2914="","",INDEX(PlanningItemsList,13))</f>
        <v/>
      </c>
      <c r="C2914" s="7"/>
      <c r="D2914" s="7"/>
    </row>
    <row r="2915" customFormat="false" ht="15" hidden="false" customHeight="false" outlineLevel="0" collapsed="false">
      <c r="A2915" s="6" t="str">
        <f aca="false">IF('DATA UNIT'!$B147="","",'DATA UNIT'!$B147)</f>
        <v/>
      </c>
      <c r="B2915" s="6" t="str">
        <f aca="false">IF($A2915="","",INDEX(PlanningItemsList,14))</f>
        <v/>
      </c>
      <c r="C2915" s="7"/>
      <c r="D2915" s="7"/>
    </row>
    <row r="2916" customFormat="false" ht="15" hidden="false" customHeight="false" outlineLevel="0" collapsed="false">
      <c r="A2916" s="6" t="str">
        <f aca="false">IF('DATA UNIT'!$B147="","",'DATA UNIT'!$B147)</f>
        <v/>
      </c>
      <c r="B2916" s="6" t="str">
        <f aca="false">IF($A2916="","",INDEX(PlanningItemsList,15))</f>
        <v/>
      </c>
      <c r="C2916" s="7"/>
      <c r="D2916" s="7"/>
    </row>
    <row r="2917" customFormat="false" ht="15" hidden="false" customHeight="false" outlineLevel="0" collapsed="false">
      <c r="A2917" s="6" t="str">
        <f aca="false">IF('DATA UNIT'!$B147="","",'DATA UNIT'!$B147)</f>
        <v/>
      </c>
      <c r="B2917" s="6" t="str">
        <f aca="false">IF($A2917="","",INDEX(PlanningItemsList,16))</f>
        <v/>
      </c>
      <c r="C2917" s="7"/>
      <c r="D2917" s="7"/>
    </row>
    <row r="2918" customFormat="false" ht="15" hidden="false" customHeight="false" outlineLevel="0" collapsed="false">
      <c r="A2918" s="6" t="str">
        <f aca="false">IF('DATA UNIT'!$B147="","",'DATA UNIT'!$B147)</f>
        <v/>
      </c>
      <c r="B2918" s="6" t="str">
        <f aca="false">IF($A2918="","",INDEX(PlanningItemsList,17))</f>
        <v/>
      </c>
      <c r="C2918" s="7"/>
      <c r="D2918" s="7"/>
    </row>
    <row r="2919" customFormat="false" ht="15" hidden="false" customHeight="false" outlineLevel="0" collapsed="false">
      <c r="A2919" s="6" t="str">
        <f aca="false">IF('DATA UNIT'!$B147="","",'DATA UNIT'!$B147)</f>
        <v/>
      </c>
      <c r="B2919" s="6" t="str">
        <f aca="false">IF($A2919="","",INDEX(PlanningItemsList,18))</f>
        <v/>
      </c>
      <c r="C2919" s="7"/>
      <c r="D2919" s="7"/>
    </row>
    <row r="2920" customFormat="false" ht="15" hidden="false" customHeight="false" outlineLevel="0" collapsed="false">
      <c r="A2920" s="6" t="str">
        <f aca="false">IF('DATA UNIT'!$B147="","",'DATA UNIT'!$B147)</f>
        <v/>
      </c>
      <c r="B2920" s="6" t="str">
        <f aca="false">IF($A2920="","",INDEX(PlanningItemsList,19))</f>
        <v/>
      </c>
      <c r="C2920" s="7"/>
      <c r="D2920" s="7"/>
    </row>
    <row r="2921" customFormat="false" ht="15" hidden="false" customHeight="false" outlineLevel="0" collapsed="false">
      <c r="A2921" s="6" t="str">
        <f aca="false">IF('DATA UNIT'!$B147="","",'DATA UNIT'!$B147)</f>
        <v/>
      </c>
      <c r="B2921" s="6" t="str">
        <f aca="false">IF($A2921="","",INDEX(PlanningItemsList,20))</f>
        <v/>
      </c>
      <c r="C2921" s="7"/>
      <c r="D2921" s="7"/>
    </row>
    <row r="2922" customFormat="false" ht="15" hidden="false" customHeight="false" outlineLevel="0" collapsed="false">
      <c r="A2922" s="6" t="str">
        <f aca="false">IF('DATA UNIT'!$B148="","",'DATA UNIT'!$B148)</f>
        <v/>
      </c>
      <c r="B2922" s="6" t="str">
        <f aca="false">IF($A2922="","",INDEX(PlanningItemsList,1))</f>
        <v/>
      </c>
      <c r="C2922" s="7"/>
      <c r="D2922" s="7"/>
    </row>
    <row r="2923" customFormat="false" ht="15" hidden="false" customHeight="false" outlineLevel="0" collapsed="false">
      <c r="A2923" s="6" t="str">
        <f aca="false">IF('DATA UNIT'!$B148="","",'DATA UNIT'!$B148)</f>
        <v/>
      </c>
      <c r="B2923" s="6" t="str">
        <f aca="false">IF($A2923="","",INDEX(PlanningItemsList,2))</f>
        <v/>
      </c>
      <c r="C2923" s="7"/>
      <c r="D2923" s="7"/>
    </row>
    <row r="2924" customFormat="false" ht="15" hidden="false" customHeight="false" outlineLevel="0" collapsed="false">
      <c r="A2924" s="6" t="str">
        <f aca="false">IF('DATA UNIT'!$B148="","",'DATA UNIT'!$B148)</f>
        <v/>
      </c>
      <c r="B2924" s="6" t="str">
        <f aca="false">IF($A2924="","",INDEX(PlanningItemsList,3))</f>
        <v/>
      </c>
      <c r="C2924" s="7"/>
      <c r="D2924" s="7"/>
    </row>
    <row r="2925" customFormat="false" ht="15" hidden="false" customHeight="false" outlineLevel="0" collapsed="false">
      <c r="A2925" s="6" t="str">
        <f aca="false">IF('DATA UNIT'!$B148="","",'DATA UNIT'!$B148)</f>
        <v/>
      </c>
      <c r="B2925" s="6" t="str">
        <f aca="false">IF($A2925="","",INDEX(PlanningItemsList,4))</f>
        <v/>
      </c>
      <c r="C2925" s="7"/>
      <c r="D2925" s="7"/>
    </row>
    <row r="2926" customFormat="false" ht="15" hidden="false" customHeight="false" outlineLevel="0" collapsed="false">
      <c r="A2926" s="6" t="str">
        <f aca="false">IF('DATA UNIT'!$B148="","",'DATA UNIT'!$B148)</f>
        <v/>
      </c>
      <c r="B2926" s="6" t="str">
        <f aca="false">IF($A2926="","",INDEX(PlanningItemsList,5))</f>
        <v/>
      </c>
      <c r="C2926" s="7"/>
      <c r="D2926" s="7"/>
    </row>
    <row r="2927" customFormat="false" ht="15" hidden="false" customHeight="false" outlineLevel="0" collapsed="false">
      <c r="A2927" s="6" t="str">
        <f aca="false">IF('DATA UNIT'!$B148="","",'DATA UNIT'!$B148)</f>
        <v/>
      </c>
      <c r="B2927" s="6" t="str">
        <f aca="false">IF($A2927="","",INDEX(PlanningItemsList,6))</f>
        <v/>
      </c>
      <c r="C2927" s="7"/>
      <c r="D2927" s="7"/>
    </row>
    <row r="2928" customFormat="false" ht="15" hidden="false" customHeight="false" outlineLevel="0" collapsed="false">
      <c r="A2928" s="6" t="str">
        <f aca="false">IF('DATA UNIT'!$B148="","",'DATA UNIT'!$B148)</f>
        <v/>
      </c>
      <c r="B2928" s="6" t="str">
        <f aca="false">IF($A2928="","",INDEX(PlanningItemsList,7))</f>
        <v/>
      </c>
      <c r="C2928" s="7"/>
      <c r="D2928" s="7"/>
    </row>
    <row r="2929" customFormat="false" ht="15" hidden="false" customHeight="false" outlineLevel="0" collapsed="false">
      <c r="A2929" s="6" t="str">
        <f aca="false">IF('DATA UNIT'!$B148="","",'DATA UNIT'!$B148)</f>
        <v/>
      </c>
      <c r="B2929" s="6" t="str">
        <f aca="false">IF($A2929="","",INDEX(PlanningItemsList,8))</f>
        <v/>
      </c>
      <c r="C2929" s="7"/>
      <c r="D2929" s="7"/>
    </row>
    <row r="2930" customFormat="false" ht="15" hidden="false" customHeight="false" outlineLevel="0" collapsed="false">
      <c r="A2930" s="6" t="str">
        <f aca="false">IF('DATA UNIT'!$B148="","",'DATA UNIT'!$B148)</f>
        <v/>
      </c>
      <c r="B2930" s="6" t="str">
        <f aca="false">IF($A2930="","",INDEX(PlanningItemsList,9))</f>
        <v/>
      </c>
      <c r="C2930" s="7"/>
      <c r="D2930" s="7"/>
    </row>
    <row r="2931" customFormat="false" ht="15" hidden="false" customHeight="false" outlineLevel="0" collapsed="false">
      <c r="A2931" s="6" t="str">
        <f aca="false">IF('DATA UNIT'!$B148="","",'DATA UNIT'!$B148)</f>
        <v/>
      </c>
      <c r="B2931" s="6" t="str">
        <f aca="false">IF($A2931="","",INDEX(PlanningItemsList,10))</f>
        <v/>
      </c>
      <c r="C2931" s="7"/>
      <c r="D2931" s="7"/>
    </row>
    <row r="2932" customFormat="false" ht="15" hidden="false" customHeight="false" outlineLevel="0" collapsed="false">
      <c r="A2932" s="6" t="str">
        <f aca="false">IF('DATA UNIT'!$B148="","",'DATA UNIT'!$B148)</f>
        <v/>
      </c>
      <c r="B2932" s="6" t="str">
        <f aca="false">IF($A2932="","",INDEX(PlanningItemsList,11))</f>
        <v/>
      </c>
      <c r="C2932" s="7"/>
      <c r="D2932" s="7"/>
    </row>
    <row r="2933" customFormat="false" ht="15" hidden="false" customHeight="false" outlineLevel="0" collapsed="false">
      <c r="A2933" s="6" t="str">
        <f aca="false">IF('DATA UNIT'!$B148="","",'DATA UNIT'!$B148)</f>
        <v/>
      </c>
      <c r="B2933" s="6" t="str">
        <f aca="false">IF($A2933="","",INDEX(PlanningItemsList,12))</f>
        <v/>
      </c>
      <c r="C2933" s="7"/>
      <c r="D2933" s="7"/>
    </row>
    <row r="2934" customFormat="false" ht="15" hidden="false" customHeight="false" outlineLevel="0" collapsed="false">
      <c r="A2934" s="6" t="str">
        <f aca="false">IF('DATA UNIT'!$B148="","",'DATA UNIT'!$B148)</f>
        <v/>
      </c>
      <c r="B2934" s="6" t="str">
        <f aca="false">IF($A2934="","",INDEX(PlanningItemsList,13))</f>
        <v/>
      </c>
      <c r="C2934" s="7"/>
      <c r="D2934" s="7"/>
    </row>
    <row r="2935" customFormat="false" ht="15" hidden="false" customHeight="false" outlineLevel="0" collapsed="false">
      <c r="A2935" s="6" t="str">
        <f aca="false">IF('DATA UNIT'!$B148="","",'DATA UNIT'!$B148)</f>
        <v/>
      </c>
      <c r="B2935" s="6" t="str">
        <f aca="false">IF($A2935="","",INDEX(PlanningItemsList,14))</f>
        <v/>
      </c>
      <c r="C2935" s="7"/>
      <c r="D2935" s="7"/>
    </row>
    <row r="2936" customFormat="false" ht="15" hidden="false" customHeight="false" outlineLevel="0" collapsed="false">
      <c r="A2936" s="6" t="str">
        <f aca="false">IF('DATA UNIT'!$B148="","",'DATA UNIT'!$B148)</f>
        <v/>
      </c>
      <c r="B2936" s="6" t="str">
        <f aca="false">IF($A2936="","",INDEX(PlanningItemsList,15))</f>
        <v/>
      </c>
      <c r="C2936" s="7"/>
      <c r="D2936" s="7"/>
    </row>
    <row r="2937" customFormat="false" ht="15" hidden="false" customHeight="false" outlineLevel="0" collapsed="false">
      <c r="A2937" s="6" t="str">
        <f aca="false">IF('DATA UNIT'!$B148="","",'DATA UNIT'!$B148)</f>
        <v/>
      </c>
      <c r="B2937" s="6" t="str">
        <f aca="false">IF($A2937="","",INDEX(PlanningItemsList,16))</f>
        <v/>
      </c>
      <c r="C2937" s="7"/>
      <c r="D2937" s="7"/>
    </row>
    <row r="2938" customFormat="false" ht="15" hidden="false" customHeight="false" outlineLevel="0" collapsed="false">
      <c r="A2938" s="6" t="str">
        <f aca="false">IF('DATA UNIT'!$B148="","",'DATA UNIT'!$B148)</f>
        <v/>
      </c>
      <c r="B2938" s="6" t="str">
        <f aca="false">IF($A2938="","",INDEX(PlanningItemsList,17))</f>
        <v/>
      </c>
      <c r="C2938" s="7"/>
      <c r="D2938" s="7"/>
    </row>
    <row r="2939" customFormat="false" ht="15" hidden="false" customHeight="false" outlineLevel="0" collapsed="false">
      <c r="A2939" s="6" t="str">
        <f aca="false">IF('DATA UNIT'!$B148="","",'DATA UNIT'!$B148)</f>
        <v/>
      </c>
      <c r="B2939" s="6" t="str">
        <f aca="false">IF($A2939="","",INDEX(PlanningItemsList,18))</f>
        <v/>
      </c>
      <c r="C2939" s="7"/>
      <c r="D2939" s="7"/>
    </row>
    <row r="2940" customFormat="false" ht="15" hidden="false" customHeight="false" outlineLevel="0" collapsed="false">
      <c r="A2940" s="6" t="str">
        <f aca="false">IF('DATA UNIT'!$B148="","",'DATA UNIT'!$B148)</f>
        <v/>
      </c>
      <c r="B2940" s="6" t="str">
        <f aca="false">IF($A2940="","",INDEX(PlanningItemsList,19))</f>
        <v/>
      </c>
      <c r="C2940" s="7"/>
      <c r="D2940" s="7"/>
    </row>
    <row r="2941" customFormat="false" ht="15" hidden="false" customHeight="false" outlineLevel="0" collapsed="false">
      <c r="A2941" s="6" t="str">
        <f aca="false">IF('DATA UNIT'!$B148="","",'DATA UNIT'!$B148)</f>
        <v/>
      </c>
      <c r="B2941" s="6" t="str">
        <f aca="false">IF($A2941="","",INDEX(PlanningItemsList,20))</f>
        <v/>
      </c>
      <c r="C2941" s="7"/>
      <c r="D2941" s="7"/>
    </row>
    <row r="2942" customFormat="false" ht="15" hidden="false" customHeight="false" outlineLevel="0" collapsed="false">
      <c r="A2942" s="6" t="str">
        <f aca="false">IF('DATA UNIT'!$B149="","",'DATA UNIT'!$B149)</f>
        <v/>
      </c>
      <c r="B2942" s="6" t="str">
        <f aca="false">IF($A2942="","",INDEX(PlanningItemsList,1))</f>
        <v/>
      </c>
      <c r="C2942" s="7"/>
      <c r="D2942" s="7"/>
    </row>
    <row r="2943" customFormat="false" ht="15" hidden="false" customHeight="false" outlineLevel="0" collapsed="false">
      <c r="A2943" s="6" t="str">
        <f aca="false">IF('DATA UNIT'!$B149="","",'DATA UNIT'!$B149)</f>
        <v/>
      </c>
      <c r="B2943" s="6" t="str">
        <f aca="false">IF($A2943="","",INDEX(PlanningItemsList,2))</f>
        <v/>
      </c>
      <c r="C2943" s="7"/>
      <c r="D2943" s="7"/>
    </row>
    <row r="2944" customFormat="false" ht="15" hidden="false" customHeight="false" outlineLevel="0" collapsed="false">
      <c r="A2944" s="6" t="str">
        <f aca="false">IF('DATA UNIT'!$B149="","",'DATA UNIT'!$B149)</f>
        <v/>
      </c>
      <c r="B2944" s="6" t="str">
        <f aca="false">IF($A2944="","",INDEX(PlanningItemsList,3))</f>
        <v/>
      </c>
      <c r="C2944" s="7"/>
      <c r="D2944" s="7"/>
    </row>
    <row r="2945" customFormat="false" ht="15" hidden="false" customHeight="false" outlineLevel="0" collapsed="false">
      <c r="A2945" s="6" t="str">
        <f aca="false">IF('DATA UNIT'!$B149="","",'DATA UNIT'!$B149)</f>
        <v/>
      </c>
      <c r="B2945" s="6" t="str">
        <f aca="false">IF($A2945="","",INDEX(PlanningItemsList,4))</f>
        <v/>
      </c>
      <c r="C2945" s="7"/>
      <c r="D2945" s="7"/>
    </row>
    <row r="2946" customFormat="false" ht="15" hidden="false" customHeight="false" outlineLevel="0" collapsed="false">
      <c r="A2946" s="6" t="str">
        <f aca="false">IF('DATA UNIT'!$B149="","",'DATA UNIT'!$B149)</f>
        <v/>
      </c>
      <c r="B2946" s="6" t="str">
        <f aca="false">IF($A2946="","",INDEX(PlanningItemsList,5))</f>
        <v/>
      </c>
      <c r="C2946" s="7"/>
      <c r="D2946" s="7"/>
    </row>
    <row r="2947" customFormat="false" ht="15" hidden="false" customHeight="false" outlineLevel="0" collapsed="false">
      <c r="A2947" s="6" t="str">
        <f aca="false">IF('DATA UNIT'!$B149="","",'DATA UNIT'!$B149)</f>
        <v/>
      </c>
      <c r="B2947" s="6" t="str">
        <f aca="false">IF($A2947="","",INDEX(PlanningItemsList,6))</f>
        <v/>
      </c>
      <c r="C2947" s="7"/>
      <c r="D2947" s="7"/>
    </row>
    <row r="2948" customFormat="false" ht="15" hidden="false" customHeight="false" outlineLevel="0" collapsed="false">
      <c r="A2948" s="6" t="str">
        <f aca="false">IF('DATA UNIT'!$B149="","",'DATA UNIT'!$B149)</f>
        <v/>
      </c>
      <c r="B2948" s="6" t="str">
        <f aca="false">IF($A2948="","",INDEX(PlanningItemsList,7))</f>
        <v/>
      </c>
      <c r="C2948" s="7"/>
      <c r="D2948" s="7"/>
    </row>
    <row r="2949" customFormat="false" ht="15" hidden="false" customHeight="false" outlineLevel="0" collapsed="false">
      <c r="A2949" s="6" t="str">
        <f aca="false">IF('DATA UNIT'!$B149="","",'DATA UNIT'!$B149)</f>
        <v/>
      </c>
      <c r="B2949" s="6" t="str">
        <f aca="false">IF($A2949="","",INDEX(PlanningItemsList,8))</f>
        <v/>
      </c>
      <c r="C2949" s="7"/>
      <c r="D2949" s="7"/>
    </row>
    <row r="2950" customFormat="false" ht="15" hidden="false" customHeight="false" outlineLevel="0" collapsed="false">
      <c r="A2950" s="6" t="str">
        <f aca="false">IF('DATA UNIT'!$B149="","",'DATA UNIT'!$B149)</f>
        <v/>
      </c>
      <c r="B2950" s="6" t="str">
        <f aca="false">IF($A2950="","",INDEX(PlanningItemsList,9))</f>
        <v/>
      </c>
      <c r="C2950" s="7"/>
      <c r="D2950" s="7"/>
    </row>
    <row r="2951" customFormat="false" ht="15" hidden="false" customHeight="false" outlineLevel="0" collapsed="false">
      <c r="A2951" s="6" t="str">
        <f aca="false">IF('DATA UNIT'!$B149="","",'DATA UNIT'!$B149)</f>
        <v/>
      </c>
      <c r="B2951" s="6" t="str">
        <f aca="false">IF($A2951="","",INDEX(PlanningItemsList,10))</f>
        <v/>
      </c>
      <c r="C2951" s="7"/>
      <c r="D2951" s="7"/>
    </row>
    <row r="2952" customFormat="false" ht="15" hidden="false" customHeight="false" outlineLevel="0" collapsed="false">
      <c r="A2952" s="6" t="str">
        <f aca="false">IF('DATA UNIT'!$B149="","",'DATA UNIT'!$B149)</f>
        <v/>
      </c>
      <c r="B2952" s="6" t="str">
        <f aca="false">IF($A2952="","",INDEX(PlanningItemsList,11))</f>
        <v/>
      </c>
      <c r="C2952" s="7"/>
      <c r="D2952" s="7"/>
    </row>
    <row r="2953" customFormat="false" ht="15" hidden="false" customHeight="false" outlineLevel="0" collapsed="false">
      <c r="A2953" s="6" t="str">
        <f aca="false">IF('DATA UNIT'!$B149="","",'DATA UNIT'!$B149)</f>
        <v/>
      </c>
      <c r="B2953" s="6" t="str">
        <f aca="false">IF($A2953="","",INDEX(PlanningItemsList,12))</f>
        <v/>
      </c>
      <c r="C2953" s="7"/>
      <c r="D2953" s="7"/>
    </row>
    <row r="2954" customFormat="false" ht="15" hidden="false" customHeight="false" outlineLevel="0" collapsed="false">
      <c r="A2954" s="6" t="str">
        <f aca="false">IF('DATA UNIT'!$B149="","",'DATA UNIT'!$B149)</f>
        <v/>
      </c>
      <c r="B2954" s="6" t="str">
        <f aca="false">IF($A2954="","",INDEX(PlanningItemsList,13))</f>
        <v/>
      </c>
      <c r="C2954" s="7"/>
      <c r="D2954" s="7"/>
    </row>
    <row r="2955" customFormat="false" ht="15" hidden="false" customHeight="false" outlineLevel="0" collapsed="false">
      <c r="A2955" s="6" t="str">
        <f aca="false">IF('DATA UNIT'!$B149="","",'DATA UNIT'!$B149)</f>
        <v/>
      </c>
      <c r="B2955" s="6" t="str">
        <f aca="false">IF($A2955="","",INDEX(PlanningItemsList,14))</f>
        <v/>
      </c>
      <c r="C2955" s="7"/>
      <c r="D2955" s="7"/>
    </row>
    <row r="2956" customFormat="false" ht="15" hidden="false" customHeight="false" outlineLevel="0" collapsed="false">
      <c r="A2956" s="6" t="str">
        <f aca="false">IF('DATA UNIT'!$B149="","",'DATA UNIT'!$B149)</f>
        <v/>
      </c>
      <c r="B2956" s="6" t="str">
        <f aca="false">IF($A2956="","",INDEX(PlanningItemsList,15))</f>
        <v/>
      </c>
      <c r="C2956" s="7"/>
      <c r="D2956" s="7"/>
    </row>
    <row r="2957" customFormat="false" ht="15" hidden="false" customHeight="false" outlineLevel="0" collapsed="false">
      <c r="A2957" s="6" t="str">
        <f aca="false">IF('DATA UNIT'!$B149="","",'DATA UNIT'!$B149)</f>
        <v/>
      </c>
      <c r="B2957" s="6" t="str">
        <f aca="false">IF($A2957="","",INDEX(PlanningItemsList,16))</f>
        <v/>
      </c>
      <c r="C2957" s="7"/>
      <c r="D2957" s="7"/>
    </row>
    <row r="2958" customFormat="false" ht="15" hidden="false" customHeight="false" outlineLevel="0" collapsed="false">
      <c r="A2958" s="6" t="str">
        <f aca="false">IF('DATA UNIT'!$B149="","",'DATA UNIT'!$B149)</f>
        <v/>
      </c>
      <c r="B2958" s="6" t="str">
        <f aca="false">IF($A2958="","",INDEX(PlanningItemsList,17))</f>
        <v/>
      </c>
      <c r="C2958" s="7"/>
      <c r="D2958" s="7"/>
    </row>
    <row r="2959" customFormat="false" ht="15" hidden="false" customHeight="false" outlineLevel="0" collapsed="false">
      <c r="A2959" s="6" t="str">
        <f aca="false">IF('DATA UNIT'!$B149="","",'DATA UNIT'!$B149)</f>
        <v/>
      </c>
      <c r="B2959" s="6" t="str">
        <f aca="false">IF($A2959="","",INDEX(PlanningItemsList,18))</f>
        <v/>
      </c>
      <c r="C2959" s="7"/>
      <c r="D2959" s="7"/>
    </row>
    <row r="2960" customFormat="false" ht="15" hidden="false" customHeight="false" outlineLevel="0" collapsed="false">
      <c r="A2960" s="6" t="str">
        <f aca="false">IF('DATA UNIT'!$B149="","",'DATA UNIT'!$B149)</f>
        <v/>
      </c>
      <c r="B2960" s="6" t="str">
        <f aca="false">IF($A2960="","",INDEX(PlanningItemsList,19))</f>
        <v/>
      </c>
      <c r="C2960" s="7"/>
      <c r="D2960" s="7"/>
    </row>
    <row r="2961" customFormat="false" ht="15" hidden="false" customHeight="false" outlineLevel="0" collapsed="false">
      <c r="A2961" s="6" t="str">
        <f aca="false">IF('DATA UNIT'!$B149="","",'DATA UNIT'!$B149)</f>
        <v/>
      </c>
      <c r="B2961" s="6" t="str">
        <f aca="false">IF($A2961="","",INDEX(PlanningItemsList,20))</f>
        <v/>
      </c>
      <c r="C2961" s="7"/>
      <c r="D2961" s="7"/>
    </row>
    <row r="2962" customFormat="false" ht="15" hidden="false" customHeight="false" outlineLevel="0" collapsed="false">
      <c r="A2962" s="6" t="str">
        <f aca="false">IF('DATA UNIT'!$B150="","",'DATA UNIT'!$B150)</f>
        <v/>
      </c>
      <c r="B2962" s="6" t="str">
        <f aca="false">IF($A2962="","",INDEX(PlanningItemsList,1))</f>
        <v/>
      </c>
      <c r="C2962" s="7"/>
      <c r="D2962" s="7"/>
    </row>
    <row r="2963" customFormat="false" ht="15" hidden="false" customHeight="false" outlineLevel="0" collapsed="false">
      <c r="A2963" s="6" t="str">
        <f aca="false">IF('DATA UNIT'!$B150="","",'DATA UNIT'!$B150)</f>
        <v/>
      </c>
      <c r="B2963" s="6" t="str">
        <f aca="false">IF($A2963="","",INDEX(PlanningItemsList,2))</f>
        <v/>
      </c>
      <c r="C2963" s="7"/>
      <c r="D2963" s="7"/>
    </row>
    <row r="2964" customFormat="false" ht="15" hidden="false" customHeight="false" outlineLevel="0" collapsed="false">
      <c r="A2964" s="6" t="str">
        <f aca="false">IF('DATA UNIT'!$B150="","",'DATA UNIT'!$B150)</f>
        <v/>
      </c>
      <c r="B2964" s="6" t="str">
        <f aca="false">IF($A2964="","",INDEX(PlanningItemsList,3))</f>
        <v/>
      </c>
      <c r="C2964" s="7"/>
      <c r="D2964" s="7"/>
    </row>
    <row r="2965" customFormat="false" ht="15" hidden="false" customHeight="false" outlineLevel="0" collapsed="false">
      <c r="A2965" s="6" t="str">
        <f aca="false">IF('DATA UNIT'!$B150="","",'DATA UNIT'!$B150)</f>
        <v/>
      </c>
      <c r="B2965" s="6" t="str">
        <f aca="false">IF($A2965="","",INDEX(PlanningItemsList,4))</f>
        <v/>
      </c>
      <c r="C2965" s="7"/>
      <c r="D2965" s="7"/>
    </row>
    <row r="2966" customFormat="false" ht="15" hidden="false" customHeight="false" outlineLevel="0" collapsed="false">
      <c r="A2966" s="6" t="str">
        <f aca="false">IF('DATA UNIT'!$B150="","",'DATA UNIT'!$B150)</f>
        <v/>
      </c>
      <c r="B2966" s="6" t="str">
        <f aca="false">IF($A2966="","",INDEX(PlanningItemsList,5))</f>
        <v/>
      </c>
      <c r="C2966" s="7"/>
      <c r="D2966" s="7"/>
    </row>
    <row r="2967" customFormat="false" ht="15" hidden="false" customHeight="false" outlineLevel="0" collapsed="false">
      <c r="A2967" s="6" t="str">
        <f aca="false">IF('DATA UNIT'!$B150="","",'DATA UNIT'!$B150)</f>
        <v/>
      </c>
      <c r="B2967" s="6" t="str">
        <f aca="false">IF($A2967="","",INDEX(PlanningItemsList,6))</f>
        <v/>
      </c>
      <c r="C2967" s="7"/>
      <c r="D2967" s="7"/>
    </row>
    <row r="2968" customFormat="false" ht="15" hidden="false" customHeight="false" outlineLevel="0" collapsed="false">
      <c r="A2968" s="6" t="str">
        <f aca="false">IF('DATA UNIT'!$B150="","",'DATA UNIT'!$B150)</f>
        <v/>
      </c>
      <c r="B2968" s="6" t="str">
        <f aca="false">IF($A2968="","",INDEX(PlanningItemsList,7))</f>
        <v/>
      </c>
      <c r="C2968" s="7"/>
      <c r="D2968" s="7"/>
    </row>
    <row r="2969" customFormat="false" ht="15" hidden="false" customHeight="false" outlineLevel="0" collapsed="false">
      <c r="A2969" s="6" t="str">
        <f aca="false">IF('DATA UNIT'!$B150="","",'DATA UNIT'!$B150)</f>
        <v/>
      </c>
      <c r="B2969" s="6" t="str">
        <f aca="false">IF($A2969="","",INDEX(PlanningItemsList,8))</f>
        <v/>
      </c>
      <c r="C2969" s="7"/>
      <c r="D2969" s="7"/>
    </row>
    <row r="2970" customFormat="false" ht="15" hidden="false" customHeight="false" outlineLevel="0" collapsed="false">
      <c r="A2970" s="6" t="str">
        <f aca="false">IF('DATA UNIT'!$B150="","",'DATA UNIT'!$B150)</f>
        <v/>
      </c>
      <c r="B2970" s="6" t="str">
        <f aca="false">IF($A2970="","",INDEX(PlanningItemsList,9))</f>
        <v/>
      </c>
      <c r="C2970" s="7"/>
      <c r="D2970" s="7"/>
    </row>
    <row r="2971" customFormat="false" ht="15" hidden="false" customHeight="false" outlineLevel="0" collapsed="false">
      <c r="A2971" s="6" t="str">
        <f aca="false">IF('DATA UNIT'!$B150="","",'DATA UNIT'!$B150)</f>
        <v/>
      </c>
      <c r="B2971" s="6" t="str">
        <f aca="false">IF($A2971="","",INDEX(PlanningItemsList,10))</f>
        <v/>
      </c>
      <c r="C2971" s="7"/>
      <c r="D2971" s="7"/>
    </row>
    <row r="2972" customFormat="false" ht="15" hidden="false" customHeight="false" outlineLevel="0" collapsed="false">
      <c r="A2972" s="6" t="str">
        <f aca="false">IF('DATA UNIT'!$B150="","",'DATA UNIT'!$B150)</f>
        <v/>
      </c>
      <c r="B2972" s="6" t="str">
        <f aca="false">IF($A2972="","",INDEX(PlanningItemsList,11))</f>
        <v/>
      </c>
      <c r="C2972" s="7"/>
      <c r="D2972" s="7"/>
    </row>
    <row r="2973" customFormat="false" ht="15" hidden="false" customHeight="false" outlineLevel="0" collapsed="false">
      <c r="A2973" s="6" t="str">
        <f aca="false">IF('DATA UNIT'!$B150="","",'DATA UNIT'!$B150)</f>
        <v/>
      </c>
      <c r="B2973" s="6" t="str">
        <f aca="false">IF($A2973="","",INDEX(PlanningItemsList,12))</f>
        <v/>
      </c>
      <c r="C2973" s="7"/>
      <c r="D2973" s="7"/>
    </row>
    <row r="2974" customFormat="false" ht="15" hidden="false" customHeight="false" outlineLevel="0" collapsed="false">
      <c r="A2974" s="6" t="str">
        <f aca="false">IF('DATA UNIT'!$B150="","",'DATA UNIT'!$B150)</f>
        <v/>
      </c>
      <c r="B2974" s="6" t="str">
        <f aca="false">IF($A2974="","",INDEX(PlanningItemsList,13))</f>
        <v/>
      </c>
      <c r="C2974" s="7"/>
      <c r="D2974" s="7"/>
    </row>
    <row r="2975" customFormat="false" ht="15" hidden="false" customHeight="false" outlineLevel="0" collapsed="false">
      <c r="A2975" s="6" t="str">
        <f aca="false">IF('DATA UNIT'!$B150="","",'DATA UNIT'!$B150)</f>
        <v/>
      </c>
      <c r="B2975" s="6" t="str">
        <f aca="false">IF($A2975="","",INDEX(PlanningItemsList,14))</f>
        <v/>
      </c>
      <c r="C2975" s="7"/>
      <c r="D2975" s="7"/>
    </row>
    <row r="2976" customFormat="false" ht="15" hidden="false" customHeight="false" outlineLevel="0" collapsed="false">
      <c r="A2976" s="6" t="str">
        <f aca="false">IF('DATA UNIT'!$B150="","",'DATA UNIT'!$B150)</f>
        <v/>
      </c>
      <c r="B2976" s="6" t="str">
        <f aca="false">IF($A2976="","",INDEX(PlanningItemsList,15))</f>
        <v/>
      </c>
      <c r="C2976" s="7"/>
      <c r="D2976" s="7"/>
    </row>
    <row r="2977" customFormat="false" ht="15" hidden="false" customHeight="false" outlineLevel="0" collapsed="false">
      <c r="A2977" s="6" t="str">
        <f aca="false">IF('DATA UNIT'!$B150="","",'DATA UNIT'!$B150)</f>
        <v/>
      </c>
      <c r="B2977" s="6" t="str">
        <f aca="false">IF($A2977="","",INDEX(PlanningItemsList,16))</f>
        <v/>
      </c>
      <c r="C2977" s="7"/>
      <c r="D2977" s="7"/>
    </row>
    <row r="2978" customFormat="false" ht="15" hidden="false" customHeight="false" outlineLevel="0" collapsed="false">
      <c r="A2978" s="6" t="str">
        <f aca="false">IF('DATA UNIT'!$B150="","",'DATA UNIT'!$B150)</f>
        <v/>
      </c>
      <c r="B2978" s="6" t="str">
        <f aca="false">IF($A2978="","",INDEX(PlanningItemsList,17))</f>
        <v/>
      </c>
      <c r="C2978" s="7"/>
      <c r="D2978" s="7"/>
    </row>
    <row r="2979" customFormat="false" ht="15" hidden="false" customHeight="false" outlineLevel="0" collapsed="false">
      <c r="A2979" s="6" t="str">
        <f aca="false">IF('DATA UNIT'!$B150="","",'DATA UNIT'!$B150)</f>
        <v/>
      </c>
      <c r="B2979" s="6" t="str">
        <f aca="false">IF($A2979="","",INDEX(PlanningItemsList,18))</f>
        <v/>
      </c>
      <c r="C2979" s="7"/>
      <c r="D2979" s="7"/>
    </row>
    <row r="2980" customFormat="false" ht="15" hidden="false" customHeight="false" outlineLevel="0" collapsed="false">
      <c r="A2980" s="6" t="str">
        <f aca="false">IF('DATA UNIT'!$B150="","",'DATA UNIT'!$B150)</f>
        <v/>
      </c>
      <c r="B2980" s="6" t="str">
        <f aca="false">IF($A2980="","",INDEX(PlanningItemsList,19))</f>
        <v/>
      </c>
      <c r="C2980" s="7"/>
      <c r="D2980" s="7"/>
    </row>
    <row r="2981" customFormat="false" ht="15" hidden="false" customHeight="false" outlineLevel="0" collapsed="false">
      <c r="A2981" s="6" t="str">
        <f aca="false">IF('DATA UNIT'!$B150="","",'DATA UNIT'!$B150)</f>
        <v/>
      </c>
      <c r="B2981" s="6" t="str">
        <f aca="false">IF($A2981="","",INDEX(PlanningItemsList,20))</f>
        <v/>
      </c>
      <c r="C2981" s="7"/>
      <c r="D2981" s="7"/>
    </row>
    <row r="2982" customFormat="false" ht="15" hidden="false" customHeight="false" outlineLevel="0" collapsed="false">
      <c r="A2982" s="6" t="str">
        <f aca="false">IF('DATA UNIT'!$B151="","",'DATA UNIT'!$B151)</f>
        <v/>
      </c>
      <c r="B2982" s="6" t="str">
        <f aca="false">IF($A2982="","",INDEX(PlanningItemsList,1))</f>
        <v/>
      </c>
      <c r="C2982" s="7"/>
      <c r="D2982" s="7"/>
    </row>
    <row r="2983" customFormat="false" ht="15" hidden="false" customHeight="false" outlineLevel="0" collapsed="false">
      <c r="A2983" s="6" t="str">
        <f aca="false">IF('DATA UNIT'!$B151="","",'DATA UNIT'!$B151)</f>
        <v/>
      </c>
      <c r="B2983" s="6" t="str">
        <f aca="false">IF($A2983="","",INDEX(PlanningItemsList,2))</f>
        <v/>
      </c>
      <c r="C2983" s="7"/>
      <c r="D2983" s="7"/>
    </row>
    <row r="2984" customFormat="false" ht="15" hidden="false" customHeight="false" outlineLevel="0" collapsed="false">
      <c r="A2984" s="6" t="str">
        <f aca="false">IF('DATA UNIT'!$B151="","",'DATA UNIT'!$B151)</f>
        <v/>
      </c>
      <c r="B2984" s="6" t="str">
        <f aca="false">IF($A2984="","",INDEX(PlanningItemsList,3))</f>
        <v/>
      </c>
      <c r="C2984" s="7"/>
      <c r="D2984" s="7"/>
    </row>
    <row r="2985" customFormat="false" ht="15" hidden="false" customHeight="false" outlineLevel="0" collapsed="false">
      <c r="A2985" s="6" t="str">
        <f aca="false">IF('DATA UNIT'!$B151="","",'DATA UNIT'!$B151)</f>
        <v/>
      </c>
      <c r="B2985" s="6" t="str">
        <f aca="false">IF($A2985="","",INDEX(PlanningItemsList,4))</f>
        <v/>
      </c>
      <c r="C2985" s="7"/>
      <c r="D2985" s="7"/>
    </row>
    <row r="2986" customFormat="false" ht="15" hidden="false" customHeight="false" outlineLevel="0" collapsed="false">
      <c r="A2986" s="6" t="str">
        <f aca="false">IF('DATA UNIT'!$B151="","",'DATA UNIT'!$B151)</f>
        <v/>
      </c>
      <c r="B2986" s="6" t="str">
        <f aca="false">IF($A2986="","",INDEX(PlanningItemsList,5))</f>
        <v/>
      </c>
      <c r="C2986" s="7"/>
      <c r="D2986" s="7"/>
    </row>
    <row r="2987" customFormat="false" ht="15" hidden="false" customHeight="false" outlineLevel="0" collapsed="false">
      <c r="A2987" s="6" t="str">
        <f aca="false">IF('DATA UNIT'!$B151="","",'DATA UNIT'!$B151)</f>
        <v/>
      </c>
      <c r="B2987" s="6" t="str">
        <f aca="false">IF($A2987="","",INDEX(PlanningItemsList,6))</f>
        <v/>
      </c>
      <c r="C2987" s="7"/>
      <c r="D2987" s="7"/>
    </row>
    <row r="2988" customFormat="false" ht="15" hidden="false" customHeight="false" outlineLevel="0" collapsed="false">
      <c r="A2988" s="6" t="str">
        <f aca="false">IF('DATA UNIT'!$B151="","",'DATA UNIT'!$B151)</f>
        <v/>
      </c>
      <c r="B2988" s="6" t="str">
        <f aca="false">IF($A2988="","",INDEX(PlanningItemsList,7))</f>
        <v/>
      </c>
      <c r="C2988" s="7"/>
      <c r="D2988" s="7"/>
    </row>
    <row r="2989" customFormat="false" ht="15" hidden="false" customHeight="false" outlineLevel="0" collapsed="false">
      <c r="A2989" s="6" t="str">
        <f aca="false">IF('DATA UNIT'!$B151="","",'DATA UNIT'!$B151)</f>
        <v/>
      </c>
      <c r="B2989" s="6" t="str">
        <f aca="false">IF($A2989="","",INDEX(PlanningItemsList,8))</f>
        <v/>
      </c>
      <c r="C2989" s="7"/>
      <c r="D2989" s="7"/>
    </row>
    <row r="2990" customFormat="false" ht="15" hidden="false" customHeight="false" outlineLevel="0" collapsed="false">
      <c r="A2990" s="6" t="str">
        <f aca="false">IF('DATA UNIT'!$B151="","",'DATA UNIT'!$B151)</f>
        <v/>
      </c>
      <c r="B2990" s="6" t="str">
        <f aca="false">IF($A2990="","",INDEX(PlanningItemsList,9))</f>
        <v/>
      </c>
      <c r="C2990" s="7"/>
      <c r="D2990" s="7"/>
    </row>
    <row r="2991" customFormat="false" ht="15" hidden="false" customHeight="false" outlineLevel="0" collapsed="false">
      <c r="A2991" s="6" t="str">
        <f aca="false">IF('DATA UNIT'!$B151="","",'DATA UNIT'!$B151)</f>
        <v/>
      </c>
      <c r="B2991" s="6" t="str">
        <f aca="false">IF($A2991="","",INDEX(PlanningItemsList,10))</f>
        <v/>
      </c>
      <c r="C2991" s="7"/>
      <c r="D2991" s="7"/>
    </row>
    <row r="2992" customFormat="false" ht="15" hidden="false" customHeight="false" outlineLevel="0" collapsed="false">
      <c r="A2992" s="6" t="str">
        <f aca="false">IF('DATA UNIT'!$B151="","",'DATA UNIT'!$B151)</f>
        <v/>
      </c>
      <c r="B2992" s="6" t="str">
        <f aca="false">IF($A2992="","",INDEX(PlanningItemsList,11))</f>
        <v/>
      </c>
      <c r="C2992" s="7"/>
      <c r="D2992" s="7"/>
    </row>
    <row r="2993" customFormat="false" ht="15" hidden="false" customHeight="false" outlineLevel="0" collapsed="false">
      <c r="A2993" s="6" t="str">
        <f aca="false">IF('DATA UNIT'!$B151="","",'DATA UNIT'!$B151)</f>
        <v/>
      </c>
      <c r="B2993" s="6" t="str">
        <f aca="false">IF($A2993="","",INDEX(PlanningItemsList,12))</f>
        <v/>
      </c>
      <c r="C2993" s="7"/>
      <c r="D2993" s="7"/>
    </row>
    <row r="2994" customFormat="false" ht="15" hidden="false" customHeight="false" outlineLevel="0" collapsed="false">
      <c r="A2994" s="6" t="str">
        <f aca="false">IF('DATA UNIT'!$B151="","",'DATA UNIT'!$B151)</f>
        <v/>
      </c>
      <c r="B2994" s="6" t="str">
        <f aca="false">IF($A2994="","",INDEX(PlanningItemsList,13))</f>
        <v/>
      </c>
      <c r="C2994" s="7"/>
      <c r="D2994" s="7"/>
    </row>
    <row r="2995" customFormat="false" ht="15" hidden="false" customHeight="false" outlineLevel="0" collapsed="false">
      <c r="A2995" s="6" t="str">
        <f aca="false">IF('DATA UNIT'!$B151="","",'DATA UNIT'!$B151)</f>
        <v/>
      </c>
      <c r="B2995" s="6" t="str">
        <f aca="false">IF($A2995="","",INDEX(PlanningItemsList,14))</f>
        <v/>
      </c>
      <c r="C2995" s="7"/>
      <c r="D2995" s="7"/>
    </row>
    <row r="2996" customFormat="false" ht="15" hidden="false" customHeight="false" outlineLevel="0" collapsed="false">
      <c r="A2996" s="6" t="str">
        <f aca="false">IF('DATA UNIT'!$B151="","",'DATA UNIT'!$B151)</f>
        <v/>
      </c>
      <c r="B2996" s="6" t="str">
        <f aca="false">IF($A2996="","",INDEX(PlanningItemsList,15))</f>
        <v/>
      </c>
      <c r="C2996" s="7"/>
      <c r="D2996" s="7"/>
    </row>
    <row r="2997" customFormat="false" ht="15" hidden="false" customHeight="false" outlineLevel="0" collapsed="false">
      <c r="A2997" s="6" t="str">
        <f aca="false">IF('DATA UNIT'!$B151="","",'DATA UNIT'!$B151)</f>
        <v/>
      </c>
      <c r="B2997" s="6" t="str">
        <f aca="false">IF($A2997="","",INDEX(PlanningItemsList,16))</f>
        <v/>
      </c>
      <c r="C2997" s="7"/>
      <c r="D2997" s="7"/>
    </row>
    <row r="2998" customFormat="false" ht="15" hidden="false" customHeight="false" outlineLevel="0" collapsed="false">
      <c r="A2998" s="6" t="str">
        <f aca="false">IF('DATA UNIT'!$B151="","",'DATA UNIT'!$B151)</f>
        <v/>
      </c>
      <c r="B2998" s="6" t="str">
        <f aca="false">IF($A2998="","",INDEX(PlanningItemsList,17))</f>
        <v/>
      </c>
      <c r="C2998" s="7"/>
      <c r="D2998" s="7"/>
    </row>
    <row r="2999" customFormat="false" ht="15" hidden="false" customHeight="false" outlineLevel="0" collapsed="false">
      <c r="A2999" s="6" t="str">
        <f aca="false">IF('DATA UNIT'!$B151="","",'DATA UNIT'!$B151)</f>
        <v/>
      </c>
      <c r="B2999" s="6" t="str">
        <f aca="false">IF($A2999="","",INDEX(PlanningItemsList,18))</f>
        <v/>
      </c>
      <c r="C2999" s="7"/>
      <c r="D2999" s="7"/>
    </row>
    <row r="3000" customFormat="false" ht="15" hidden="false" customHeight="false" outlineLevel="0" collapsed="false">
      <c r="A3000" s="6" t="str">
        <f aca="false">IF('DATA UNIT'!$B151="","",'DATA UNIT'!$B151)</f>
        <v/>
      </c>
      <c r="B3000" s="6" t="str">
        <f aca="false">IF($A3000="","",INDEX(PlanningItemsList,19))</f>
        <v/>
      </c>
      <c r="C3000" s="7"/>
      <c r="D3000" s="7"/>
    </row>
    <row r="3001" customFormat="false" ht="15" hidden="false" customHeight="false" outlineLevel="0" collapsed="false">
      <c r="A3001" s="6" t="str">
        <f aca="false">IF('DATA UNIT'!$B151="","",'DATA UNIT'!$B151)</f>
        <v/>
      </c>
      <c r="B3001" s="6" t="str">
        <f aca="false">IF($A3001="","",INDEX(PlanningItemsList,20))</f>
        <v/>
      </c>
      <c r="C3001" s="7"/>
      <c r="D3001" s="7"/>
    </row>
    <row r="3002" customFormat="false" ht="15" hidden="false" customHeight="false" outlineLevel="0" collapsed="false">
      <c r="A3002" s="6" t="str">
        <f aca="false">IF('DATA UNIT'!$B152="","",'DATA UNIT'!$B152)</f>
        <v/>
      </c>
      <c r="B3002" s="6" t="str">
        <f aca="false">IF($A3002="","",INDEX(PlanningItemsList,1))</f>
        <v/>
      </c>
      <c r="C3002" s="7"/>
      <c r="D3002" s="7"/>
    </row>
    <row r="3003" customFormat="false" ht="15" hidden="false" customHeight="false" outlineLevel="0" collapsed="false">
      <c r="A3003" s="6" t="str">
        <f aca="false">IF('DATA UNIT'!$B152="","",'DATA UNIT'!$B152)</f>
        <v/>
      </c>
      <c r="B3003" s="6" t="str">
        <f aca="false">IF($A3003="","",INDEX(PlanningItemsList,2))</f>
        <v/>
      </c>
      <c r="C3003" s="7"/>
      <c r="D3003" s="7"/>
    </row>
    <row r="3004" customFormat="false" ht="15" hidden="false" customHeight="false" outlineLevel="0" collapsed="false">
      <c r="A3004" s="6" t="str">
        <f aca="false">IF('DATA UNIT'!$B152="","",'DATA UNIT'!$B152)</f>
        <v/>
      </c>
      <c r="B3004" s="6" t="str">
        <f aca="false">IF($A3004="","",INDEX(PlanningItemsList,3))</f>
        <v/>
      </c>
      <c r="C3004" s="7"/>
      <c r="D3004" s="7"/>
    </row>
    <row r="3005" customFormat="false" ht="15" hidden="false" customHeight="false" outlineLevel="0" collapsed="false">
      <c r="A3005" s="6" t="str">
        <f aca="false">IF('DATA UNIT'!$B152="","",'DATA UNIT'!$B152)</f>
        <v/>
      </c>
      <c r="B3005" s="6" t="str">
        <f aca="false">IF($A3005="","",INDEX(PlanningItemsList,4))</f>
        <v/>
      </c>
      <c r="C3005" s="7"/>
      <c r="D3005" s="7"/>
    </row>
    <row r="3006" customFormat="false" ht="15" hidden="false" customHeight="false" outlineLevel="0" collapsed="false">
      <c r="A3006" s="6" t="str">
        <f aca="false">IF('DATA UNIT'!$B152="","",'DATA UNIT'!$B152)</f>
        <v/>
      </c>
      <c r="B3006" s="6" t="str">
        <f aca="false">IF($A3006="","",INDEX(PlanningItemsList,5))</f>
        <v/>
      </c>
      <c r="C3006" s="7"/>
      <c r="D3006" s="7"/>
    </row>
    <row r="3007" customFormat="false" ht="15" hidden="false" customHeight="false" outlineLevel="0" collapsed="false">
      <c r="A3007" s="6" t="str">
        <f aca="false">IF('DATA UNIT'!$B152="","",'DATA UNIT'!$B152)</f>
        <v/>
      </c>
      <c r="B3007" s="6" t="str">
        <f aca="false">IF($A3007="","",INDEX(PlanningItemsList,6))</f>
        <v/>
      </c>
      <c r="C3007" s="7"/>
      <c r="D3007" s="7"/>
    </row>
    <row r="3008" customFormat="false" ht="15" hidden="false" customHeight="false" outlineLevel="0" collapsed="false">
      <c r="A3008" s="6" t="str">
        <f aca="false">IF('DATA UNIT'!$B152="","",'DATA UNIT'!$B152)</f>
        <v/>
      </c>
      <c r="B3008" s="6" t="str">
        <f aca="false">IF($A3008="","",INDEX(PlanningItemsList,7))</f>
        <v/>
      </c>
      <c r="C3008" s="7"/>
      <c r="D3008" s="7"/>
    </row>
    <row r="3009" customFormat="false" ht="15" hidden="false" customHeight="false" outlineLevel="0" collapsed="false">
      <c r="A3009" s="6" t="str">
        <f aca="false">IF('DATA UNIT'!$B152="","",'DATA UNIT'!$B152)</f>
        <v/>
      </c>
      <c r="B3009" s="6" t="str">
        <f aca="false">IF($A3009="","",INDEX(PlanningItemsList,8))</f>
        <v/>
      </c>
      <c r="C3009" s="7"/>
      <c r="D3009" s="7"/>
    </row>
    <row r="3010" customFormat="false" ht="15" hidden="false" customHeight="false" outlineLevel="0" collapsed="false">
      <c r="A3010" s="6" t="str">
        <f aca="false">IF('DATA UNIT'!$B152="","",'DATA UNIT'!$B152)</f>
        <v/>
      </c>
      <c r="B3010" s="6" t="str">
        <f aca="false">IF($A3010="","",INDEX(PlanningItemsList,9))</f>
        <v/>
      </c>
      <c r="C3010" s="7"/>
      <c r="D3010" s="7"/>
    </row>
    <row r="3011" customFormat="false" ht="15" hidden="false" customHeight="false" outlineLevel="0" collapsed="false">
      <c r="A3011" s="6" t="str">
        <f aca="false">IF('DATA UNIT'!$B152="","",'DATA UNIT'!$B152)</f>
        <v/>
      </c>
      <c r="B3011" s="6" t="str">
        <f aca="false">IF($A3011="","",INDEX(PlanningItemsList,10))</f>
        <v/>
      </c>
      <c r="C3011" s="7"/>
      <c r="D3011" s="7"/>
    </row>
    <row r="3012" customFormat="false" ht="15" hidden="false" customHeight="false" outlineLevel="0" collapsed="false">
      <c r="A3012" s="6" t="str">
        <f aca="false">IF('DATA UNIT'!$B152="","",'DATA UNIT'!$B152)</f>
        <v/>
      </c>
      <c r="B3012" s="6" t="str">
        <f aca="false">IF($A3012="","",INDEX(PlanningItemsList,11))</f>
        <v/>
      </c>
      <c r="C3012" s="7"/>
      <c r="D3012" s="7"/>
    </row>
    <row r="3013" customFormat="false" ht="15" hidden="false" customHeight="false" outlineLevel="0" collapsed="false">
      <c r="A3013" s="6" t="str">
        <f aca="false">IF('DATA UNIT'!$B152="","",'DATA UNIT'!$B152)</f>
        <v/>
      </c>
      <c r="B3013" s="6" t="str">
        <f aca="false">IF($A3013="","",INDEX(PlanningItemsList,12))</f>
        <v/>
      </c>
      <c r="C3013" s="7"/>
      <c r="D3013" s="7"/>
    </row>
    <row r="3014" customFormat="false" ht="15" hidden="false" customHeight="false" outlineLevel="0" collapsed="false">
      <c r="A3014" s="6" t="str">
        <f aca="false">IF('DATA UNIT'!$B152="","",'DATA UNIT'!$B152)</f>
        <v/>
      </c>
      <c r="B3014" s="6" t="str">
        <f aca="false">IF($A3014="","",INDEX(PlanningItemsList,13))</f>
        <v/>
      </c>
      <c r="C3014" s="7"/>
      <c r="D3014" s="7"/>
    </row>
    <row r="3015" customFormat="false" ht="15" hidden="false" customHeight="false" outlineLevel="0" collapsed="false">
      <c r="A3015" s="6" t="str">
        <f aca="false">IF('DATA UNIT'!$B152="","",'DATA UNIT'!$B152)</f>
        <v/>
      </c>
      <c r="B3015" s="6" t="str">
        <f aca="false">IF($A3015="","",INDEX(PlanningItemsList,14))</f>
        <v/>
      </c>
      <c r="C3015" s="7"/>
      <c r="D3015" s="7"/>
    </row>
    <row r="3016" customFormat="false" ht="15" hidden="false" customHeight="false" outlineLevel="0" collapsed="false">
      <c r="A3016" s="6" t="str">
        <f aca="false">IF('DATA UNIT'!$B152="","",'DATA UNIT'!$B152)</f>
        <v/>
      </c>
      <c r="B3016" s="6" t="str">
        <f aca="false">IF($A3016="","",INDEX(PlanningItemsList,15))</f>
        <v/>
      </c>
      <c r="C3016" s="7"/>
      <c r="D3016" s="7"/>
    </row>
    <row r="3017" customFormat="false" ht="15" hidden="false" customHeight="false" outlineLevel="0" collapsed="false">
      <c r="A3017" s="6" t="str">
        <f aca="false">IF('DATA UNIT'!$B152="","",'DATA UNIT'!$B152)</f>
        <v/>
      </c>
      <c r="B3017" s="6" t="str">
        <f aca="false">IF($A3017="","",INDEX(PlanningItemsList,16))</f>
        <v/>
      </c>
      <c r="C3017" s="7"/>
      <c r="D3017" s="7"/>
    </row>
    <row r="3018" customFormat="false" ht="15" hidden="false" customHeight="false" outlineLevel="0" collapsed="false">
      <c r="A3018" s="6" t="str">
        <f aca="false">IF('DATA UNIT'!$B152="","",'DATA UNIT'!$B152)</f>
        <v/>
      </c>
      <c r="B3018" s="6" t="str">
        <f aca="false">IF($A3018="","",INDEX(PlanningItemsList,17))</f>
        <v/>
      </c>
      <c r="C3018" s="7"/>
      <c r="D3018" s="7"/>
    </row>
    <row r="3019" customFormat="false" ht="15" hidden="false" customHeight="false" outlineLevel="0" collapsed="false">
      <c r="A3019" s="6" t="str">
        <f aca="false">IF('DATA UNIT'!$B152="","",'DATA UNIT'!$B152)</f>
        <v/>
      </c>
      <c r="B3019" s="6" t="str">
        <f aca="false">IF($A3019="","",INDEX(PlanningItemsList,18))</f>
        <v/>
      </c>
      <c r="C3019" s="7"/>
      <c r="D3019" s="7"/>
    </row>
    <row r="3020" customFormat="false" ht="15" hidden="false" customHeight="false" outlineLevel="0" collapsed="false">
      <c r="A3020" s="6" t="str">
        <f aca="false">IF('DATA UNIT'!$B152="","",'DATA UNIT'!$B152)</f>
        <v/>
      </c>
      <c r="B3020" s="6" t="str">
        <f aca="false">IF($A3020="","",INDEX(PlanningItemsList,19))</f>
        <v/>
      </c>
      <c r="C3020" s="7"/>
      <c r="D3020" s="7"/>
    </row>
    <row r="3021" customFormat="false" ht="15" hidden="false" customHeight="false" outlineLevel="0" collapsed="false">
      <c r="A3021" s="6" t="str">
        <f aca="false">IF('DATA UNIT'!$B152="","",'DATA UNIT'!$B152)</f>
        <v/>
      </c>
      <c r="B3021" s="6" t="str">
        <f aca="false">IF($A3021="","",INDEX(PlanningItemsList,20))</f>
        <v/>
      </c>
      <c r="C3021" s="7"/>
      <c r="D3021" s="7"/>
    </row>
    <row r="3022" customFormat="false" ht="15" hidden="false" customHeight="false" outlineLevel="0" collapsed="false">
      <c r="A3022" s="6" t="str">
        <f aca="false">IF('DATA UNIT'!$B153="","",'DATA UNIT'!$B153)</f>
        <v/>
      </c>
      <c r="B3022" s="6" t="str">
        <f aca="false">IF($A3022="","",INDEX(PlanningItemsList,1))</f>
        <v/>
      </c>
      <c r="C3022" s="7"/>
      <c r="D3022" s="7"/>
    </row>
    <row r="3023" customFormat="false" ht="15" hidden="false" customHeight="false" outlineLevel="0" collapsed="false">
      <c r="A3023" s="6" t="str">
        <f aca="false">IF('DATA UNIT'!$B153="","",'DATA UNIT'!$B153)</f>
        <v/>
      </c>
      <c r="B3023" s="6" t="str">
        <f aca="false">IF($A3023="","",INDEX(PlanningItemsList,2))</f>
        <v/>
      </c>
      <c r="C3023" s="7"/>
      <c r="D3023" s="7"/>
    </row>
    <row r="3024" customFormat="false" ht="15" hidden="false" customHeight="false" outlineLevel="0" collapsed="false">
      <c r="A3024" s="6" t="str">
        <f aca="false">IF('DATA UNIT'!$B153="","",'DATA UNIT'!$B153)</f>
        <v/>
      </c>
      <c r="B3024" s="6" t="str">
        <f aca="false">IF($A3024="","",INDEX(PlanningItemsList,3))</f>
        <v/>
      </c>
      <c r="C3024" s="7"/>
      <c r="D3024" s="7"/>
    </row>
    <row r="3025" customFormat="false" ht="15" hidden="false" customHeight="false" outlineLevel="0" collapsed="false">
      <c r="A3025" s="6" t="str">
        <f aca="false">IF('DATA UNIT'!$B153="","",'DATA UNIT'!$B153)</f>
        <v/>
      </c>
      <c r="B3025" s="6" t="str">
        <f aca="false">IF($A3025="","",INDEX(PlanningItemsList,4))</f>
        <v/>
      </c>
      <c r="C3025" s="7"/>
      <c r="D3025" s="7"/>
    </row>
    <row r="3026" customFormat="false" ht="15" hidden="false" customHeight="false" outlineLevel="0" collapsed="false">
      <c r="A3026" s="6" t="str">
        <f aca="false">IF('DATA UNIT'!$B153="","",'DATA UNIT'!$B153)</f>
        <v/>
      </c>
      <c r="B3026" s="6" t="str">
        <f aca="false">IF($A3026="","",INDEX(PlanningItemsList,5))</f>
        <v/>
      </c>
      <c r="C3026" s="7"/>
      <c r="D3026" s="7"/>
    </row>
    <row r="3027" customFormat="false" ht="15" hidden="false" customHeight="false" outlineLevel="0" collapsed="false">
      <c r="A3027" s="6" t="str">
        <f aca="false">IF('DATA UNIT'!$B153="","",'DATA UNIT'!$B153)</f>
        <v/>
      </c>
      <c r="B3027" s="6" t="str">
        <f aca="false">IF($A3027="","",INDEX(PlanningItemsList,6))</f>
        <v/>
      </c>
      <c r="C3027" s="7"/>
      <c r="D3027" s="7"/>
    </row>
    <row r="3028" customFormat="false" ht="15" hidden="false" customHeight="false" outlineLevel="0" collapsed="false">
      <c r="A3028" s="6" t="str">
        <f aca="false">IF('DATA UNIT'!$B153="","",'DATA UNIT'!$B153)</f>
        <v/>
      </c>
      <c r="B3028" s="6" t="str">
        <f aca="false">IF($A3028="","",INDEX(PlanningItemsList,7))</f>
        <v/>
      </c>
      <c r="C3028" s="7"/>
      <c r="D3028" s="7"/>
    </row>
    <row r="3029" customFormat="false" ht="15" hidden="false" customHeight="false" outlineLevel="0" collapsed="false">
      <c r="A3029" s="6" t="str">
        <f aca="false">IF('DATA UNIT'!$B153="","",'DATA UNIT'!$B153)</f>
        <v/>
      </c>
      <c r="B3029" s="6" t="str">
        <f aca="false">IF($A3029="","",INDEX(PlanningItemsList,8))</f>
        <v/>
      </c>
      <c r="C3029" s="7"/>
      <c r="D3029" s="7"/>
    </row>
    <row r="3030" customFormat="false" ht="15" hidden="false" customHeight="false" outlineLevel="0" collapsed="false">
      <c r="A3030" s="6" t="str">
        <f aca="false">IF('DATA UNIT'!$B153="","",'DATA UNIT'!$B153)</f>
        <v/>
      </c>
      <c r="B3030" s="6" t="str">
        <f aca="false">IF($A3030="","",INDEX(PlanningItemsList,9))</f>
        <v/>
      </c>
      <c r="C3030" s="7"/>
      <c r="D3030" s="7"/>
    </row>
    <row r="3031" customFormat="false" ht="15" hidden="false" customHeight="false" outlineLevel="0" collapsed="false">
      <c r="A3031" s="6" t="str">
        <f aca="false">IF('DATA UNIT'!$B153="","",'DATA UNIT'!$B153)</f>
        <v/>
      </c>
      <c r="B3031" s="6" t="str">
        <f aca="false">IF($A3031="","",INDEX(PlanningItemsList,10))</f>
        <v/>
      </c>
      <c r="C3031" s="7"/>
      <c r="D3031" s="7"/>
    </row>
    <row r="3032" customFormat="false" ht="15" hidden="false" customHeight="false" outlineLevel="0" collapsed="false">
      <c r="A3032" s="6" t="str">
        <f aca="false">IF('DATA UNIT'!$B153="","",'DATA UNIT'!$B153)</f>
        <v/>
      </c>
      <c r="B3032" s="6" t="str">
        <f aca="false">IF($A3032="","",INDEX(PlanningItemsList,11))</f>
        <v/>
      </c>
      <c r="C3032" s="7"/>
      <c r="D3032" s="7"/>
    </row>
    <row r="3033" customFormat="false" ht="15" hidden="false" customHeight="false" outlineLevel="0" collapsed="false">
      <c r="A3033" s="6" t="str">
        <f aca="false">IF('DATA UNIT'!$B153="","",'DATA UNIT'!$B153)</f>
        <v/>
      </c>
      <c r="B3033" s="6" t="str">
        <f aca="false">IF($A3033="","",INDEX(PlanningItemsList,12))</f>
        <v/>
      </c>
      <c r="C3033" s="7"/>
      <c r="D3033" s="7"/>
    </row>
    <row r="3034" customFormat="false" ht="15" hidden="false" customHeight="false" outlineLevel="0" collapsed="false">
      <c r="A3034" s="6" t="str">
        <f aca="false">IF('DATA UNIT'!$B153="","",'DATA UNIT'!$B153)</f>
        <v/>
      </c>
      <c r="B3034" s="6" t="str">
        <f aca="false">IF($A3034="","",INDEX(PlanningItemsList,13))</f>
        <v/>
      </c>
      <c r="C3034" s="7"/>
      <c r="D3034" s="7"/>
    </row>
    <row r="3035" customFormat="false" ht="15" hidden="false" customHeight="false" outlineLevel="0" collapsed="false">
      <c r="A3035" s="6" t="str">
        <f aca="false">IF('DATA UNIT'!$B153="","",'DATA UNIT'!$B153)</f>
        <v/>
      </c>
      <c r="B3035" s="6" t="str">
        <f aca="false">IF($A3035="","",INDEX(PlanningItemsList,14))</f>
        <v/>
      </c>
      <c r="C3035" s="7"/>
      <c r="D3035" s="7"/>
    </row>
    <row r="3036" customFormat="false" ht="15" hidden="false" customHeight="false" outlineLevel="0" collapsed="false">
      <c r="A3036" s="6" t="str">
        <f aca="false">IF('DATA UNIT'!$B153="","",'DATA UNIT'!$B153)</f>
        <v/>
      </c>
      <c r="B3036" s="6" t="str">
        <f aca="false">IF($A3036="","",INDEX(PlanningItemsList,15))</f>
        <v/>
      </c>
      <c r="C3036" s="7"/>
      <c r="D3036" s="7"/>
    </row>
    <row r="3037" customFormat="false" ht="15" hidden="false" customHeight="false" outlineLevel="0" collapsed="false">
      <c r="A3037" s="6" t="str">
        <f aca="false">IF('DATA UNIT'!$B153="","",'DATA UNIT'!$B153)</f>
        <v/>
      </c>
      <c r="B3037" s="6" t="str">
        <f aca="false">IF($A3037="","",INDEX(PlanningItemsList,16))</f>
        <v/>
      </c>
      <c r="C3037" s="7"/>
      <c r="D3037" s="7"/>
    </row>
    <row r="3038" customFormat="false" ht="15" hidden="false" customHeight="false" outlineLevel="0" collapsed="false">
      <c r="A3038" s="6" t="str">
        <f aca="false">IF('DATA UNIT'!$B153="","",'DATA UNIT'!$B153)</f>
        <v/>
      </c>
      <c r="B3038" s="6" t="str">
        <f aca="false">IF($A3038="","",INDEX(PlanningItemsList,17))</f>
        <v/>
      </c>
      <c r="C3038" s="7"/>
      <c r="D3038" s="7"/>
    </row>
    <row r="3039" customFormat="false" ht="15" hidden="false" customHeight="false" outlineLevel="0" collapsed="false">
      <c r="A3039" s="6" t="str">
        <f aca="false">IF('DATA UNIT'!$B153="","",'DATA UNIT'!$B153)</f>
        <v/>
      </c>
      <c r="B3039" s="6" t="str">
        <f aca="false">IF($A3039="","",INDEX(PlanningItemsList,18))</f>
        <v/>
      </c>
      <c r="C3039" s="7"/>
      <c r="D3039" s="7"/>
    </row>
    <row r="3040" customFormat="false" ht="15" hidden="false" customHeight="false" outlineLevel="0" collapsed="false">
      <c r="A3040" s="6" t="str">
        <f aca="false">IF('DATA UNIT'!$B153="","",'DATA UNIT'!$B153)</f>
        <v/>
      </c>
      <c r="B3040" s="6" t="str">
        <f aca="false">IF($A3040="","",INDEX(PlanningItemsList,19))</f>
        <v/>
      </c>
      <c r="C3040" s="7"/>
      <c r="D3040" s="7"/>
    </row>
    <row r="3041" customFormat="false" ht="15" hidden="false" customHeight="false" outlineLevel="0" collapsed="false">
      <c r="A3041" s="6" t="str">
        <f aca="false">IF('DATA UNIT'!$B153="","",'DATA UNIT'!$B153)</f>
        <v/>
      </c>
      <c r="B3041" s="6" t="str">
        <f aca="false">IF($A3041="","",INDEX(PlanningItemsList,20))</f>
        <v/>
      </c>
      <c r="C3041" s="7"/>
      <c r="D3041" s="7"/>
    </row>
    <row r="3042" customFormat="false" ht="15" hidden="false" customHeight="false" outlineLevel="0" collapsed="false">
      <c r="A3042" s="6" t="str">
        <f aca="false">IF('DATA UNIT'!$B154="","",'DATA UNIT'!$B154)</f>
        <v/>
      </c>
      <c r="B3042" s="6" t="str">
        <f aca="false">IF($A3042="","",INDEX(PlanningItemsList,1))</f>
        <v/>
      </c>
      <c r="C3042" s="7"/>
      <c r="D3042" s="7"/>
    </row>
    <row r="3043" customFormat="false" ht="15" hidden="false" customHeight="false" outlineLevel="0" collapsed="false">
      <c r="A3043" s="6" t="str">
        <f aca="false">IF('DATA UNIT'!$B154="","",'DATA UNIT'!$B154)</f>
        <v/>
      </c>
      <c r="B3043" s="6" t="str">
        <f aca="false">IF($A3043="","",INDEX(PlanningItemsList,2))</f>
        <v/>
      </c>
      <c r="C3043" s="7"/>
      <c r="D3043" s="7"/>
    </row>
    <row r="3044" customFormat="false" ht="15" hidden="false" customHeight="false" outlineLevel="0" collapsed="false">
      <c r="A3044" s="6" t="str">
        <f aca="false">IF('DATA UNIT'!$B154="","",'DATA UNIT'!$B154)</f>
        <v/>
      </c>
      <c r="B3044" s="6" t="str">
        <f aca="false">IF($A3044="","",INDEX(PlanningItemsList,3))</f>
        <v/>
      </c>
      <c r="C3044" s="7"/>
      <c r="D3044" s="7"/>
    </row>
    <row r="3045" customFormat="false" ht="15" hidden="false" customHeight="false" outlineLevel="0" collapsed="false">
      <c r="A3045" s="6" t="str">
        <f aca="false">IF('DATA UNIT'!$B154="","",'DATA UNIT'!$B154)</f>
        <v/>
      </c>
      <c r="B3045" s="6" t="str">
        <f aca="false">IF($A3045="","",INDEX(PlanningItemsList,4))</f>
        <v/>
      </c>
      <c r="C3045" s="7"/>
      <c r="D3045" s="7"/>
    </row>
    <row r="3046" customFormat="false" ht="15" hidden="false" customHeight="false" outlineLevel="0" collapsed="false">
      <c r="A3046" s="6" t="str">
        <f aca="false">IF('DATA UNIT'!$B154="","",'DATA UNIT'!$B154)</f>
        <v/>
      </c>
      <c r="B3046" s="6" t="str">
        <f aca="false">IF($A3046="","",INDEX(PlanningItemsList,5))</f>
        <v/>
      </c>
      <c r="C3046" s="7"/>
      <c r="D3046" s="7"/>
    </row>
    <row r="3047" customFormat="false" ht="15" hidden="false" customHeight="false" outlineLevel="0" collapsed="false">
      <c r="A3047" s="6" t="str">
        <f aca="false">IF('DATA UNIT'!$B154="","",'DATA UNIT'!$B154)</f>
        <v/>
      </c>
      <c r="B3047" s="6" t="str">
        <f aca="false">IF($A3047="","",INDEX(PlanningItemsList,6))</f>
        <v/>
      </c>
      <c r="C3047" s="7"/>
      <c r="D3047" s="7"/>
    </row>
    <row r="3048" customFormat="false" ht="15" hidden="false" customHeight="false" outlineLevel="0" collapsed="false">
      <c r="A3048" s="6" t="str">
        <f aca="false">IF('DATA UNIT'!$B154="","",'DATA UNIT'!$B154)</f>
        <v/>
      </c>
      <c r="B3048" s="6" t="str">
        <f aca="false">IF($A3048="","",INDEX(PlanningItemsList,7))</f>
        <v/>
      </c>
      <c r="C3048" s="7"/>
      <c r="D3048" s="7"/>
    </row>
    <row r="3049" customFormat="false" ht="15" hidden="false" customHeight="false" outlineLevel="0" collapsed="false">
      <c r="A3049" s="6" t="str">
        <f aca="false">IF('DATA UNIT'!$B154="","",'DATA UNIT'!$B154)</f>
        <v/>
      </c>
      <c r="B3049" s="6" t="str">
        <f aca="false">IF($A3049="","",INDEX(PlanningItemsList,8))</f>
        <v/>
      </c>
      <c r="C3049" s="7"/>
      <c r="D3049" s="7"/>
    </row>
    <row r="3050" customFormat="false" ht="15" hidden="false" customHeight="false" outlineLevel="0" collapsed="false">
      <c r="A3050" s="6" t="str">
        <f aca="false">IF('DATA UNIT'!$B154="","",'DATA UNIT'!$B154)</f>
        <v/>
      </c>
      <c r="B3050" s="6" t="str">
        <f aca="false">IF($A3050="","",INDEX(PlanningItemsList,9))</f>
        <v/>
      </c>
      <c r="C3050" s="7"/>
      <c r="D3050" s="7"/>
    </row>
    <row r="3051" customFormat="false" ht="15" hidden="false" customHeight="false" outlineLevel="0" collapsed="false">
      <c r="A3051" s="6" t="str">
        <f aca="false">IF('DATA UNIT'!$B154="","",'DATA UNIT'!$B154)</f>
        <v/>
      </c>
      <c r="B3051" s="6" t="str">
        <f aca="false">IF($A3051="","",INDEX(PlanningItemsList,10))</f>
        <v/>
      </c>
      <c r="C3051" s="7"/>
      <c r="D3051" s="7"/>
    </row>
    <row r="3052" customFormat="false" ht="15" hidden="false" customHeight="false" outlineLevel="0" collapsed="false">
      <c r="A3052" s="6" t="str">
        <f aca="false">IF('DATA UNIT'!$B154="","",'DATA UNIT'!$B154)</f>
        <v/>
      </c>
      <c r="B3052" s="6" t="str">
        <f aca="false">IF($A3052="","",INDEX(PlanningItemsList,11))</f>
        <v/>
      </c>
      <c r="C3052" s="7"/>
      <c r="D3052" s="7"/>
    </row>
    <row r="3053" customFormat="false" ht="15" hidden="false" customHeight="false" outlineLevel="0" collapsed="false">
      <c r="A3053" s="6" t="str">
        <f aca="false">IF('DATA UNIT'!$B154="","",'DATA UNIT'!$B154)</f>
        <v/>
      </c>
      <c r="B3053" s="6" t="str">
        <f aca="false">IF($A3053="","",INDEX(PlanningItemsList,12))</f>
        <v/>
      </c>
      <c r="C3053" s="7"/>
      <c r="D3053" s="7"/>
    </row>
    <row r="3054" customFormat="false" ht="15" hidden="false" customHeight="false" outlineLevel="0" collapsed="false">
      <c r="A3054" s="6" t="str">
        <f aca="false">IF('DATA UNIT'!$B154="","",'DATA UNIT'!$B154)</f>
        <v/>
      </c>
      <c r="B3054" s="6" t="str">
        <f aca="false">IF($A3054="","",INDEX(PlanningItemsList,13))</f>
        <v/>
      </c>
      <c r="C3054" s="7"/>
      <c r="D3054" s="7"/>
    </row>
    <row r="3055" customFormat="false" ht="15" hidden="false" customHeight="false" outlineLevel="0" collapsed="false">
      <c r="A3055" s="6" t="str">
        <f aca="false">IF('DATA UNIT'!$B154="","",'DATA UNIT'!$B154)</f>
        <v/>
      </c>
      <c r="B3055" s="6" t="str">
        <f aca="false">IF($A3055="","",INDEX(PlanningItemsList,14))</f>
        <v/>
      </c>
      <c r="C3055" s="7"/>
      <c r="D3055" s="7"/>
    </row>
    <row r="3056" customFormat="false" ht="15" hidden="false" customHeight="false" outlineLevel="0" collapsed="false">
      <c r="A3056" s="6" t="str">
        <f aca="false">IF('DATA UNIT'!$B154="","",'DATA UNIT'!$B154)</f>
        <v/>
      </c>
      <c r="B3056" s="6" t="str">
        <f aca="false">IF($A3056="","",INDEX(PlanningItemsList,15))</f>
        <v/>
      </c>
      <c r="C3056" s="7"/>
      <c r="D3056" s="7"/>
    </row>
    <row r="3057" customFormat="false" ht="15" hidden="false" customHeight="false" outlineLevel="0" collapsed="false">
      <c r="A3057" s="6" t="str">
        <f aca="false">IF('DATA UNIT'!$B154="","",'DATA UNIT'!$B154)</f>
        <v/>
      </c>
      <c r="B3057" s="6" t="str">
        <f aca="false">IF($A3057="","",INDEX(PlanningItemsList,16))</f>
        <v/>
      </c>
      <c r="C3057" s="7"/>
      <c r="D3057" s="7"/>
    </row>
    <row r="3058" customFormat="false" ht="15" hidden="false" customHeight="false" outlineLevel="0" collapsed="false">
      <c r="A3058" s="6" t="str">
        <f aca="false">IF('DATA UNIT'!$B154="","",'DATA UNIT'!$B154)</f>
        <v/>
      </c>
      <c r="B3058" s="6" t="str">
        <f aca="false">IF($A3058="","",INDEX(PlanningItemsList,17))</f>
        <v/>
      </c>
      <c r="C3058" s="7"/>
      <c r="D3058" s="7"/>
    </row>
    <row r="3059" customFormat="false" ht="15" hidden="false" customHeight="false" outlineLevel="0" collapsed="false">
      <c r="A3059" s="6" t="str">
        <f aca="false">IF('DATA UNIT'!$B154="","",'DATA UNIT'!$B154)</f>
        <v/>
      </c>
      <c r="B3059" s="6" t="str">
        <f aca="false">IF($A3059="","",INDEX(PlanningItemsList,18))</f>
        <v/>
      </c>
      <c r="C3059" s="7"/>
      <c r="D3059" s="7"/>
    </row>
    <row r="3060" customFormat="false" ht="15" hidden="false" customHeight="false" outlineLevel="0" collapsed="false">
      <c r="A3060" s="6" t="str">
        <f aca="false">IF('DATA UNIT'!$B154="","",'DATA UNIT'!$B154)</f>
        <v/>
      </c>
      <c r="B3060" s="6" t="str">
        <f aca="false">IF($A3060="","",INDEX(PlanningItemsList,19))</f>
        <v/>
      </c>
      <c r="C3060" s="7"/>
      <c r="D3060" s="7"/>
    </row>
    <row r="3061" customFormat="false" ht="15" hidden="false" customHeight="false" outlineLevel="0" collapsed="false">
      <c r="A3061" s="6" t="str">
        <f aca="false">IF('DATA UNIT'!$B154="","",'DATA UNIT'!$B154)</f>
        <v/>
      </c>
      <c r="B3061" s="6" t="str">
        <f aca="false">IF($A3061="","",INDEX(PlanningItemsList,20))</f>
        <v/>
      </c>
      <c r="C3061" s="7"/>
      <c r="D3061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2026-07-09T06:18:26Z</dcterms:created>
  <dc:creator>openpyxl</dc:creator>
  <dc:description/>
  <dc:language>en-US</dc:language>
  <cp:lastModifiedBy/>
  <dcterms:modified xsi:type="dcterms:W3CDTF">2026-07-09T06:18:26Z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